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mgan/Desktop/lea-katz_tango-rov/data/01_raw/"/>
    </mc:Choice>
  </mc:AlternateContent>
  <xr:revisionPtr revIDLastSave="0" documentId="13_ncr:1_{5A8BD35A-4D20-4742-A640-DCEB28D41411}" xr6:coauthVersionLast="47" xr6:coauthVersionMax="47" xr10:uidLastSave="{00000000-0000-0000-0000-000000000000}"/>
  <bookViews>
    <workbookView xWindow="0" yWindow="600" windowWidth="28800" windowHeight="17400" xr2:uid="{F7CDA5EA-FF56-0B43-9586-586015EBC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1" l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2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<sst xmlns="http://schemas.openxmlformats.org/spreadsheetml/2006/main" count="887" uniqueCount="280">
  <si>
    <t>event_ID</t>
  </si>
  <si>
    <t>transect</t>
  </si>
  <si>
    <t>TANGO_sample_ID</t>
  </si>
  <si>
    <t>campaign</t>
  </si>
  <si>
    <t>station_full_name</t>
  </si>
  <si>
    <t>new_name</t>
  </si>
  <si>
    <t>number</t>
  </si>
  <si>
    <t>station</t>
  </si>
  <si>
    <t>transect_name</t>
  </si>
  <si>
    <t>site</t>
  </si>
  <si>
    <t>deployed_from</t>
  </si>
  <si>
    <t>date</t>
  </si>
  <si>
    <t>heading_ROV</t>
  </si>
  <si>
    <t>start_transect_carnet</t>
  </si>
  <si>
    <t>stop_transect_carnet</t>
  </si>
  <si>
    <t>transect_time_min</t>
  </si>
  <si>
    <t>avg_ROV_height_m</t>
  </si>
  <si>
    <t>calculated_dist</t>
  </si>
  <si>
    <t>site_lon_DD</t>
  </si>
  <si>
    <t>site_lat_DD</t>
  </si>
  <si>
    <t>site_lon_stop_DD</t>
  </si>
  <si>
    <t>site_lat_stop_DD</t>
  </si>
  <si>
    <t>n_images</t>
  </si>
  <si>
    <t>ROV1</t>
  </si>
  <si>
    <t>t1</t>
  </si>
  <si>
    <t>TANGO2</t>
  </si>
  <si>
    <t>Melchior Islands North Omega</t>
  </si>
  <si>
    <t>MI_ON</t>
  </si>
  <si>
    <t>Australis</t>
  </si>
  <si>
    <t>17:26</t>
  </si>
  <si>
    <t>17:30</t>
  </si>
  <si>
    <t>NA</t>
  </si>
  <si>
    <t>t2</t>
  </si>
  <si>
    <t>?</t>
  </si>
  <si>
    <t>ROV2</t>
  </si>
  <si>
    <t>west</t>
  </si>
  <si>
    <t>13:46</t>
  </si>
  <si>
    <t>13:57</t>
  </si>
  <si>
    <t>ROV3</t>
  </si>
  <si>
    <t>16:27</t>
  </si>
  <si>
    <t>16:41</t>
  </si>
  <si>
    <t>16:44</t>
  </si>
  <si>
    <t>DIV6</t>
  </si>
  <si>
    <t>east</t>
  </si>
  <si>
    <t>ROV4</t>
  </si>
  <si>
    <t>13:19</t>
  </si>
  <si>
    <t>13:36</t>
  </si>
  <si>
    <t>ROV5</t>
  </si>
  <si>
    <t>16:00</t>
  </si>
  <si>
    <t>16:15</t>
  </si>
  <si>
    <t>16:17</t>
  </si>
  <si>
    <t>16:30</t>
  </si>
  <si>
    <t>ROV6</t>
  </si>
  <si>
    <t>Melchior Islands South Omega</t>
  </si>
  <si>
    <t>MI_OS</t>
  </si>
  <si>
    <t>inner</t>
  </si>
  <si>
    <t>14:24</t>
  </si>
  <si>
    <t>14:28</t>
  </si>
  <si>
    <t>ROV7</t>
  </si>
  <si>
    <t>mid</t>
  </si>
  <si>
    <t>Zodiac</t>
  </si>
  <si>
    <t>10:23</t>
  </si>
  <si>
    <t>10:39</t>
  </si>
  <si>
    <t>10:49</t>
  </si>
  <si>
    <t>11:07</t>
  </si>
  <si>
    <t>t3</t>
  </si>
  <si>
    <t>11:21</t>
  </si>
  <si>
    <t>11:39</t>
  </si>
  <si>
    <t>ROV8</t>
  </si>
  <si>
    <t>15:44</t>
  </si>
  <si>
    <t>ROV9</t>
  </si>
  <si>
    <t>9:16</t>
  </si>
  <si>
    <t>9:31</t>
  </si>
  <si>
    <t>9:59</t>
  </si>
  <si>
    <t>10:15</t>
  </si>
  <si>
    <t>10:16</t>
  </si>
  <si>
    <t>10:25</t>
  </si>
  <si>
    <t>ROV10</t>
  </si>
  <si>
    <t>outer</t>
  </si>
  <si>
    <t>14:13</t>
  </si>
  <si>
    <t>14:29</t>
  </si>
  <si>
    <t>14:44</t>
  </si>
  <si>
    <t>14:45</t>
  </si>
  <si>
    <t>15:00</t>
  </si>
  <si>
    <t>ROV11</t>
  </si>
  <si>
    <t>Hovgaard Islands</t>
  </si>
  <si>
    <t>HI</t>
  </si>
  <si>
    <t>boat</t>
  </si>
  <si>
    <t>17:04</t>
  </si>
  <si>
    <t>17:19</t>
  </si>
  <si>
    <t>ROV12</t>
  </si>
  <si>
    <t>16:10</t>
  </si>
  <si>
    <t>16:25</t>
  </si>
  <si>
    <t>16:26</t>
  </si>
  <si>
    <t>16:42</t>
  </si>
  <si>
    <t>16:57</t>
  </si>
  <si>
    <t>ROV13</t>
  </si>
  <si>
    <t>outside</t>
  </si>
  <si>
    <t>13:11</t>
  </si>
  <si>
    <t>13:26</t>
  </si>
  <si>
    <t>13:35</t>
  </si>
  <si>
    <t>13:51</t>
  </si>
  <si>
    <t>14:02</t>
  </si>
  <si>
    <t>14:17</t>
  </si>
  <si>
    <t>ROV14</t>
  </si>
  <si>
    <t>channel</t>
  </si>
  <si>
    <t>13:49</t>
  </si>
  <si>
    <t>14:04</t>
  </si>
  <si>
    <t>q1</t>
  </si>
  <si>
    <t>14:06</t>
  </si>
  <si>
    <t>14:25</t>
  </si>
  <si>
    <t>14:34</t>
  </si>
  <si>
    <t>14:49</t>
  </si>
  <si>
    <t>14:56</t>
  </si>
  <si>
    <t>15:10</t>
  </si>
  <si>
    <t>ROV15</t>
  </si>
  <si>
    <t>south pool</t>
  </si>
  <si>
    <t>10:38</t>
  </si>
  <si>
    <t>10:46</t>
  </si>
  <si>
    <t>10:52</t>
  </si>
  <si>
    <t>11:13</t>
  </si>
  <si>
    <t>11:29</t>
  </si>
  <si>
    <t>ROV16</t>
  </si>
  <si>
    <t>Foyn Harbor</t>
  </si>
  <si>
    <t>FH</t>
  </si>
  <si>
    <t>15:16</t>
  </si>
  <si>
    <t>15:31</t>
  </si>
  <si>
    <t>15:37</t>
  </si>
  <si>
    <t>15:52</t>
  </si>
  <si>
    <t>16:05</t>
  </si>
  <si>
    <t>16:20</t>
  </si>
  <si>
    <t>ROV17</t>
  </si>
  <si>
    <t>14:05</t>
  </si>
  <si>
    <t>DIV31</t>
  </si>
  <si>
    <t>ROV18</t>
  </si>
  <si>
    <t>16:12</t>
  </si>
  <si>
    <t>ROV19</t>
  </si>
  <si>
    <t>17:15</t>
  </si>
  <si>
    <t>17:36</t>
  </si>
  <si>
    <t>17:51</t>
  </si>
  <si>
    <t>ROV20</t>
  </si>
  <si>
    <t>Entreprise Island</t>
  </si>
  <si>
    <t>EI</t>
  </si>
  <si>
    <t>wreck</t>
  </si>
  <si>
    <t>14:20</t>
  </si>
  <si>
    <t>14:35</t>
  </si>
  <si>
    <t>15:15</t>
  </si>
  <si>
    <t>15:28</t>
  </si>
  <si>
    <t>t4</t>
  </si>
  <si>
    <t>15:58</t>
  </si>
  <si>
    <t>16:08</t>
  </si>
  <si>
    <t>ROV21</t>
  </si>
  <si>
    <t>outer wall</t>
  </si>
  <si>
    <t>11:26</t>
  </si>
  <si>
    <t>11:38</t>
  </si>
  <si>
    <t>12:00</t>
  </si>
  <si>
    <t>12:13</t>
  </si>
  <si>
    <t>12:19</t>
  </si>
  <si>
    <t>12:31</t>
  </si>
  <si>
    <t>ROV22</t>
  </si>
  <si>
    <t>ROV23</t>
  </si>
  <si>
    <t>q2</t>
  </si>
  <si>
    <t>q3</t>
  </si>
  <si>
    <t>ice1</t>
  </si>
  <si>
    <t>ice2</t>
  </si>
  <si>
    <t>TANGO1</t>
  </si>
  <si>
    <t>Dodman Island</t>
  </si>
  <si>
    <t>Blaiklock Island</t>
  </si>
  <si>
    <t>DI</t>
  </si>
  <si>
    <t>BI</t>
  </si>
  <si>
    <t>name_in_paper</t>
  </si>
  <si>
    <t>MIN</t>
  </si>
  <si>
    <t>MIS-o-1</t>
  </si>
  <si>
    <t>MIS-o-2</t>
  </si>
  <si>
    <t>MIS-o-3</t>
  </si>
  <si>
    <t>HI-n-1</t>
  </si>
  <si>
    <t>HI-n-2</t>
  </si>
  <si>
    <t>HI-n-3</t>
  </si>
  <si>
    <t>HI-c-1</t>
  </si>
  <si>
    <t>HI-c-2</t>
  </si>
  <si>
    <t>HI-c-3</t>
  </si>
  <si>
    <t>HI-c-4</t>
  </si>
  <si>
    <t>HI-s-1</t>
  </si>
  <si>
    <t>HI-s-2</t>
  </si>
  <si>
    <t>HI-s-3</t>
  </si>
  <si>
    <t>FH-b-1</t>
  </si>
  <si>
    <t>FH-b-2</t>
  </si>
  <si>
    <t>FH-b-3</t>
  </si>
  <si>
    <t>FH-s-1</t>
  </si>
  <si>
    <t>FH-s-2</t>
  </si>
  <si>
    <t>FH-b-4</t>
  </si>
  <si>
    <t>FH-s-3</t>
  </si>
  <si>
    <t>FH-s-4</t>
  </si>
  <si>
    <t>FH-e-1</t>
  </si>
  <si>
    <t>FH-e-2</t>
  </si>
  <si>
    <t>FH-e-3</t>
  </si>
  <si>
    <t>FH-e-4</t>
  </si>
  <si>
    <t>FH-w-1</t>
  </si>
  <si>
    <t>FH-w-2</t>
  </si>
  <si>
    <t>FH-w-3</t>
  </si>
  <si>
    <t>MIS-i-4</t>
  </si>
  <si>
    <t>MIS-i-3</t>
  </si>
  <si>
    <t>MIS-i-2</t>
  </si>
  <si>
    <t>MIS-m-4</t>
  </si>
  <si>
    <t>MIS-m-3</t>
  </si>
  <si>
    <t>MIS-m-2</t>
  </si>
  <si>
    <t>MIS-m-1</t>
  </si>
  <si>
    <t>MIS-i-1</t>
  </si>
  <si>
    <t>ice</t>
  </si>
  <si>
    <t>67° 07.834 W</t>
  </si>
  <si>
    <t>67° 30.195 S</t>
  </si>
  <si>
    <t>b</t>
  </si>
  <si>
    <t>67° 05.987 W</t>
  </si>
  <si>
    <t>67° 30.898 S</t>
  </si>
  <si>
    <t>a</t>
  </si>
  <si>
    <t>67° 03.096 W</t>
  </si>
  <si>
    <t>67° 30.308 S</t>
  </si>
  <si>
    <t>67° 14.852 W</t>
  </si>
  <si>
    <t>67° 32.994 S</t>
  </si>
  <si>
    <t>c</t>
  </si>
  <si>
    <t>67° 12.861 W</t>
  </si>
  <si>
    <t>67° 32.749 S</t>
  </si>
  <si>
    <t>67° 12.89 W</t>
  </si>
  <si>
    <t>67° 33.112 S</t>
  </si>
  <si>
    <t>65° 46.303 W</t>
  </si>
  <si>
    <t>66° 00.577 S</t>
  </si>
  <si>
    <t>65° 46.313 W</t>
  </si>
  <si>
    <t>66° 00.160 S</t>
  </si>
  <si>
    <t>65° 47.336 W</t>
  </si>
  <si>
    <t>65° 59.805 S</t>
  </si>
  <si>
    <t>65° 47.399 W</t>
  </si>
  <si>
    <t>65° 59.827 S</t>
  </si>
  <si>
    <t>65° 46.784 W</t>
  </si>
  <si>
    <t>65° 59.984 S</t>
  </si>
  <si>
    <t>site_lon_DMD</t>
  </si>
  <si>
    <t>site_lat_DMD</t>
  </si>
  <si>
    <t>TANGO1_ROV1_q1</t>
  </si>
  <si>
    <t>TANGO1_ROV2_q1</t>
  </si>
  <si>
    <t>TANGO1_ROV2_t1</t>
  </si>
  <si>
    <t>TANGO1_ROV3_t1</t>
  </si>
  <si>
    <t>TANGO1_ROV4_q1</t>
  </si>
  <si>
    <t>TANGO1_ROV4_q2</t>
  </si>
  <si>
    <t>TANGO1_ROV4_q3</t>
  </si>
  <si>
    <t>TANGO1_ROV5_q1</t>
  </si>
  <si>
    <t>TANGO1_ROV5_q2</t>
  </si>
  <si>
    <t>TANGO1_ROV6_q1</t>
  </si>
  <si>
    <t>TANGO1_ROV6_q2</t>
  </si>
  <si>
    <t>TANGO1_ROV6_q3</t>
  </si>
  <si>
    <t>TANGO1_ROV7_q1</t>
  </si>
  <si>
    <t>TANGO1_ROV7_q2</t>
  </si>
  <si>
    <t>TANGO1_ROV7_t1</t>
  </si>
  <si>
    <t>TANGO1_ROV8_q1</t>
  </si>
  <si>
    <t>TANGO1_ROV9_q1</t>
  </si>
  <si>
    <t>TANGO1_ROV9_q2</t>
  </si>
  <si>
    <t>TANGO1_ROV9_q3</t>
  </si>
  <si>
    <t>TANGO1_ROV10_ice1</t>
  </si>
  <si>
    <t>TANGO1_ROV11_ice2</t>
  </si>
  <si>
    <t>TANGO1_ROV12_q1</t>
  </si>
  <si>
    <t>TANGO1_ROV12_q2</t>
  </si>
  <si>
    <t>TANGO1_ROV12_q3</t>
  </si>
  <si>
    <t>TANGO1_ROV13_q1</t>
  </si>
  <si>
    <t>TANGO1_ROV13_q2</t>
  </si>
  <si>
    <t>TANGO1_ROV13_q3</t>
  </si>
  <si>
    <t>TANGO1_ROV14_t1</t>
  </si>
  <si>
    <t>TANGO1_ROV15_q1</t>
  </si>
  <si>
    <t>TANGO1_ROV15_q2</t>
  </si>
  <si>
    <t>TANGO1_ROV15_q3</t>
  </si>
  <si>
    <t>TANGO1_ROV16_q1</t>
  </si>
  <si>
    <t>TANGO1_ROV18_q1</t>
  </si>
  <si>
    <t>TANGO1_ROV18_q2</t>
  </si>
  <si>
    <t>TANGO1_ROV19_t1</t>
  </si>
  <si>
    <t>TANGO1_ROV20_q1</t>
  </si>
  <si>
    <t>TANGO1_ROV20_q2</t>
  </si>
  <si>
    <t>TANGO1_ROV20_q3</t>
  </si>
  <si>
    <t>TANGO1_ROV22_q1</t>
  </si>
  <si>
    <t>TANGO1_ROV22_q2</t>
  </si>
  <si>
    <t>TANGO1_ROV22_q3</t>
  </si>
  <si>
    <t>TANGO1_ROV23_t1</t>
  </si>
  <si>
    <t>TANGO1_ROV21</t>
  </si>
  <si>
    <t>TANGO1_ROV17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</si>
</sst>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2" xfId="0" applyNumberFormat="1" applyFont="1" applyFill="1" applyBorder="1"/>
    <xf numFmtId="0" fontId="1" fillId="3" borderId="0" xfId="0" applyFont="1" applyFill="1"/>
    <xf numFmtId="49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F5078-6440-0C40-AC6B-CB94C799ED6D}">
  <dimension ref="A1:Z94"/>
  <sheetViews>
    <sheetView tabSelected="1" topLeftCell="Q1" workbookViewId="0">
      <selection activeCell="J84" sqref="J84"/>
    </sheetView>
  </sheetViews>
  <sheetFormatPr baseColWidth="10" defaultRowHeight="16" x14ac:dyDescent="0.2"/>
  <cols>
    <col min="1" max="1" width="8.5" bestFit="1" customWidth="1"/>
    <col min="2" max="2" width="8" bestFit="1" customWidth="1"/>
    <col min="3" max="3" width="7.6640625" bestFit="1" customWidth="1"/>
    <col min="4" max="4" width="15.1640625" bestFit="1" customWidth="1"/>
    <col min="5" max="5" width="25.6640625" bestFit="1" customWidth="1"/>
    <col min="6" max="6" width="6.6640625" bestFit="1" customWidth="1"/>
    <col min="7" max="7" width="7.33203125" bestFit="1" customWidth="1"/>
    <col min="8" max="8" width="13.6640625" bestFit="1" customWidth="1"/>
    <col min="9" max="9" width="13.6640625" customWidth="1"/>
    <col min="10" max="10" width="18.83203125" bestFit="1" customWidth="1"/>
    <col min="11" max="11" width="9.5" bestFit="1" customWidth="1"/>
    <col min="12" max="12" width="12.83203125" bestFit="1" customWidth="1"/>
    <col min="13" max="13" width="9.1640625" bestFit="1" customWidth="1"/>
    <col min="14" max="14" width="11.1640625" bestFit="1" customWidth="1"/>
    <col min="15" max="15" width="17.83203125" bestFit="1" customWidth="1"/>
    <col min="16" max="16" width="17.6640625" bestFit="1" customWidth="1"/>
    <col min="17" max="17" width="15.6640625" bestFit="1" customWidth="1"/>
    <col min="18" max="18" width="15.33203125" bestFit="1" customWidth="1"/>
    <col min="19" max="21" width="12.83203125" bestFit="1" customWidth="1"/>
    <col min="22" max="22" width="12.5" bestFit="1" customWidth="1"/>
    <col min="23" max="23" width="12.1640625" bestFit="1" customWidth="1"/>
    <col min="24" max="24" width="14.5" bestFit="1" customWidth="1"/>
    <col min="25" max="25" width="14" bestFit="1" customWidth="1"/>
    <col min="26" max="26" width="8.33203125" bestFit="1" customWidth="1"/>
  </cols>
  <sheetData>
    <row r="1" spans="1:26" x14ac:dyDescent="0.2">
      <c r="A1" s="2" t="s">
        <v>3</v>
      </c>
      <c r="B1" s="1" t="s">
        <v>0</v>
      </c>
      <c r="C1" s="2" t="s">
        <v>1</v>
      </c>
      <c r="D1" s="2" t="s">
        <v>2</v>
      </c>
      <c r="E1" s="2" t="s">
        <v>4</v>
      </c>
      <c r="F1" s="2" t="s">
        <v>7</v>
      </c>
      <c r="G1" s="2" t="s">
        <v>6</v>
      </c>
      <c r="H1" s="2" t="s">
        <v>5</v>
      </c>
      <c r="I1" s="2" t="s">
        <v>170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2" t="s">
        <v>17</v>
      </c>
      <c r="T1" s="4" t="s">
        <v>18</v>
      </c>
      <c r="U1" s="4" t="s">
        <v>19</v>
      </c>
      <c r="V1" t="s">
        <v>234</v>
      </c>
      <c r="W1" t="s">
        <v>235</v>
      </c>
      <c r="X1" s="4" t="s">
        <v>20</v>
      </c>
      <c r="Y1" s="4" t="s">
        <v>21</v>
      </c>
      <c r="Z1" s="4" t="s">
        <v>22</v>
      </c>
    </row>
    <row r="2" spans="1:26" x14ac:dyDescent="0.2">
      <c r="A2" t="s">
        <v>25</v>
      </c>
      <c r="B2" t="s">
        <v>23</v>
      </c>
      <c r="C2" t="s">
        <v>24</v>
      </c>
      <c r="D2">
        <v>138</v>
      </c>
      <c r="E2" t="s">
        <v>26</v>
      </c>
      <c r="F2" t="s">
        <v>27</v>
      </c>
      <c r="G2">
        <v>1</v>
      </c>
      <c r="H2" t="str">
        <f t="shared" ref="H2:H33" si="0">F2&amp;"_"&amp;K2&amp;G2</f>
        <v>MI_ON_1</v>
      </c>
      <c r="J2" t="str">
        <f t="shared" ref="J2:J33" si="1">A2&amp;"_"&amp;B2&amp;"_"&amp;C2</f>
        <v>TANGO2_ROV1_t1</v>
      </c>
      <c r="L2" t="s">
        <v>28</v>
      </c>
      <c r="M2">
        <v>11022024</v>
      </c>
      <c r="O2" s="5" t="s">
        <v>29</v>
      </c>
      <c r="P2" s="5" t="s">
        <v>30</v>
      </c>
      <c r="Q2">
        <v>4</v>
      </c>
      <c r="R2">
        <v>1</v>
      </c>
      <c r="S2">
        <v>24</v>
      </c>
      <c r="T2" s="9">
        <v>-64.320700000000002</v>
      </c>
      <c r="U2" s="9">
        <v>-62.923033330000003</v>
      </c>
      <c r="X2" s="9" t="s">
        <v>31</v>
      </c>
      <c r="Y2" s="9" t="s">
        <v>31</v>
      </c>
      <c r="Z2" s="10">
        <v>91</v>
      </c>
    </row>
    <row r="3" spans="1:26" x14ac:dyDescent="0.2">
      <c r="A3" t="s">
        <v>25</v>
      </c>
      <c r="B3" t="s">
        <v>23</v>
      </c>
      <c r="C3" t="s">
        <v>32</v>
      </c>
      <c r="D3">
        <v>138</v>
      </c>
      <c r="E3" t="s">
        <v>26</v>
      </c>
      <c r="F3" t="s">
        <v>27</v>
      </c>
      <c r="G3">
        <v>2</v>
      </c>
      <c r="H3" t="str">
        <f t="shared" si="0"/>
        <v>MI_ON_2</v>
      </c>
      <c r="J3" t="str">
        <f t="shared" si="1"/>
        <v>TANGO2_ROV1_t2</v>
      </c>
      <c r="L3" t="s">
        <v>28</v>
      </c>
      <c r="M3">
        <v>11022024</v>
      </c>
      <c r="O3" s="5" t="s">
        <v>30</v>
      </c>
      <c r="P3" s="5" t="s">
        <v>33</v>
      </c>
      <c r="Q3" s="5"/>
      <c r="R3">
        <v>1.5</v>
      </c>
      <c r="S3">
        <v>0</v>
      </c>
      <c r="T3" s="9"/>
      <c r="U3" s="9"/>
      <c r="X3" s="9"/>
      <c r="Y3" s="9"/>
      <c r="Z3" s="10"/>
    </row>
    <row r="4" spans="1:26" x14ac:dyDescent="0.2">
      <c r="A4" t="s">
        <v>25</v>
      </c>
      <c r="B4" t="s">
        <v>34</v>
      </c>
      <c r="C4" t="s">
        <v>24</v>
      </c>
      <c r="D4">
        <v>139</v>
      </c>
      <c r="E4" t="s">
        <v>26</v>
      </c>
      <c r="F4" t="s">
        <v>27</v>
      </c>
      <c r="G4">
        <v>1</v>
      </c>
      <c r="H4" t="str">
        <f t="shared" si="0"/>
        <v>MI_ON_west1</v>
      </c>
      <c r="J4" t="str">
        <f t="shared" si="1"/>
        <v>TANGO2_ROV2_t1</v>
      </c>
      <c r="K4" t="s">
        <v>35</v>
      </c>
      <c r="L4" t="s">
        <v>28</v>
      </c>
      <c r="M4">
        <v>12022024</v>
      </c>
      <c r="N4">
        <v>250</v>
      </c>
      <c r="O4" s="5" t="s">
        <v>36</v>
      </c>
      <c r="P4" s="5" t="s">
        <v>37</v>
      </c>
      <c r="Q4">
        <v>11</v>
      </c>
      <c r="R4">
        <v>1</v>
      </c>
      <c r="S4">
        <v>66</v>
      </c>
      <c r="T4">
        <v>-64.320733329999996</v>
      </c>
      <c r="U4">
        <v>-62.923866670000002</v>
      </c>
      <c r="X4">
        <v>-64.321961459999997</v>
      </c>
      <c r="Y4">
        <v>-62.924069439999997</v>
      </c>
      <c r="Z4" s="6">
        <v>126</v>
      </c>
    </row>
    <row r="5" spans="1:26" x14ac:dyDescent="0.2">
      <c r="A5" t="s">
        <v>25</v>
      </c>
      <c r="B5" t="s">
        <v>38</v>
      </c>
      <c r="C5" t="s">
        <v>24</v>
      </c>
      <c r="D5">
        <v>824</v>
      </c>
      <c r="E5" t="s">
        <v>26</v>
      </c>
      <c r="F5" t="s">
        <v>27</v>
      </c>
      <c r="G5">
        <v>2</v>
      </c>
      <c r="H5" t="str">
        <f t="shared" si="0"/>
        <v>MI_ON_west2</v>
      </c>
      <c r="J5" t="str">
        <f t="shared" si="1"/>
        <v>TANGO2_ROV3_t1</v>
      </c>
      <c r="K5" t="s">
        <v>35</v>
      </c>
      <c r="L5" t="s">
        <v>28</v>
      </c>
      <c r="M5">
        <v>12022024</v>
      </c>
      <c r="N5">
        <v>308</v>
      </c>
      <c r="O5" s="5" t="s">
        <v>39</v>
      </c>
      <c r="P5" s="5" t="s">
        <v>40</v>
      </c>
      <c r="Q5">
        <v>14</v>
      </c>
      <c r="R5">
        <v>1</v>
      </c>
      <c r="S5">
        <v>84</v>
      </c>
      <c r="T5">
        <v>-64.320566670000005</v>
      </c>
      <c r="U5">
        <v>-62.923166670000001</v>
      </c>
      <c r="X5">
        <v>-64.321877369999996</v>
      </c>
      <c r="Y5">
        <v>-62.922702100000002</v>
      </c>
      <c r="Z5" s="10">
        <v>220</v>
      </c>
    </row>
    <row r="6" spans="1:26" x14ac:dyDescent="0.2">
      <c r="A6" t="s">
        <v>25</v>
      </c>
      <c r="B6" t="s">
        <v>38</v>
      </c>
      <c r="C6" t="s">
        <v>32</v>
      </c>
      <c r="D6">
        <v>825</v>
      </c>
      <c r="E6" t="s">
        <v>26</v>
      </c>
      <c r="F6" t="s">
        <v>27</v>
      </c>
      <c r="G6">
        <v>3</v>
      </c>
      <c r="H6" t="str">
        <f t="shared" si="0"/>
        <v>MI_ON_west3</v>
      </c>
      <c r="J6" t="str">
        <f t="shared" si="1"/>
        <v>TANGO2_ROV3_t2</v>
      </c>
      <c r="K6" t="s">
        <v>35</v>
      </c>
      <c r="L6" t="s">
        <v>28</v>
      </c>
      <c r="M6">
        <v>12022024</v>
      </c>
      <c r="N6">
        <v>230</v>
      </c>
      <c r="O6" s="5" t="s">
        <v>41</v>
      </c>
      <c r="P6" s="5" t="s">
        <v>33</v>
      </c>
      <c r="Q6" s="7"/>
      <c r="R6">
        <v>1</v>
      </c>
      <c r="S6">
        <v>0</v>
      </c>
      <c r="T6">
        <v>-64.349999999999994</v>
      </c>
      <c r="U6">
        <v>-62.916666669999998</v>
      </c>
      <c r="X6" t="s">
        <v>31</v>
      </c>
      <c r="Y6" t="s">
        <v>31</v>
      </c>
      <c r="Z6" s="10"/>
    </row>
    <row r="7" spans="1:26" x14ac:dyDescent="0.2">
      <c r="A7" t="s">
        <v>25</v>
      </c>
      <c r="B7" t="s">
        <v>42</v>
      </c>
      <c r="C7" t="s">
        <v>24</v>
      </c>
      <c r="D7">
        <v>448</v>
      </c>
      <c r="E7" t="s">
        <v>26</v>
      </c>
      <c r="F7" t="s">
        <v>27</v>
      </c>
      <c r="H7" t="str">
        <f t="shared" si="0"/>
        <v>MI_ON_east</v>
      </c>
      <c r="J7" t="str">
        <f t="shared" si="1"/>
        <v>TANGO2_DIV6_t1</v>
      </c>
      <c r="K7" t="s">
        <v>43</v>
      </c>
      <c r="L7" t="s">
        <v>28</v>
      </c>
      <c r="M7">
        <v>13022024</v>
      </c>
      <c r="N7">
        <v>60</v>
      </c>
      <c r="O7" s="5"/>
      <c r="P7" s="5"/>
      <c r="Q7" s="7"/>
      <c r="R7" s="5"/>
      <c r="S7">
        <v>0</v>
      </c>
      <c r="T7">
        <v>-64.320999999999998</v>
      </c>
      <c r="U7">
        <v>-62.924083330000002</v>
      </c>
      <c r="X7">
        <v>-64.320935000000006</v>
      </c>
      <c r="Y7">
        <v>-62.923144000000001</v>
      </c>
    </row>
    <row r="8" spans="1:26" x14ac:dyDescent="0.2">
      <c r="A8" t="s">
        <v>25</v>
      </c>
      <c r="B8" t="s">
        <v>44</v>
      </c>
      <c r="C8" t="s">
        <v>24</v>
      </c>
      <c r="D8">
        <v>445</v>
      </c>
      <c r="E8" t="s">
        <v>26</v>
      </c>
      <c r="F8" t="s">
        <v>27</v>
      </c>
      <c r="G8">
        <v>1</v>
      </c>
      <c r="H8" t="str">
        <f t="shared" si="0"/>
        <v>MI_ON_east1</v>
      </c>
      <c r="I8" t="s">
        <v>171</v>
      </c>
      <c r="J8" t="str">
        <f t="shared" si="1"/>
        <v>TANGO2_ROV4_t1</v>
      </c>
      <c r="K8" t="s">
        <v>43</v>
      </c>
      <c r="L8" t="s">
        <v>28</v>
      </c>
      <c r="M8">
        <v>13022024</v>
      </c>
      <c r="N8">
        <v>60</v>
      </c>
      <c r="O8" s="5" t="s">
        <v>45</v>
      </c>
      <c r="P8" s="5" t="s">
        <v>46</v>
      </c>
      <c r="Q8">
        <v>17</v>
      </c>
      <c r="R8">
        <v>1</v>
      </c>
      <c r="S8">
        <v>102</v>
      </c>
      <c r="T8">
        <v>-64.320983330000004</v>
      </c>
      <c r="U8">
        <v>-62.923633330000001</v>
      </c>
      <c r="X8">
        <v>-64.319234170000001</v>
      </c>
      <c r="Y8">
        <v>-62.923175180000001</v>
      </c>
      <c r="Z8">
        <v>197</v>
      </c>
    </row>
    <row r="9" spans="1:26" x14ac:dyDescent="0.2">
      <c r="A9" t="s">
        <v>25</v>
      </c>
      <c r="B9" t="s">
        <v>47</v>
      </c>
      <c r="C9" t="s">
        <v>24</v>
      </c>
      <c r="D9">
        <v>446</v>
      </c>
      <c r="E9" t="s">
        <v>26</v>
      </c>
      <c r="F9" t="s">
        <v>27</v>
      </c>
      <c r="G9">
        <v>2</v>
      </c>
      <c r="H9" t="str">
        <f t="shared" si="0"/>
        <v>MI_ON_east2</v>
      </c>
      <c r="J9" t="str">
        <f t="shared" si="1"/>
        <v>TANGO2_ROV5_t1</v>
      </c>
      <c r="K9" t="s">
        <v>43</v>
      </c>
      <c r="L9" t="s">
        <v>28</v>
      </c>
      <c r="M9">
        <v>13022024</v>
      </c>
      <c r="N9">
        <v>10</v>
      </c>
      <c r="O9" s="5" t="s">
        <v>48</v>
      </c>
      <c r="P9" s="5" t="s">
        <v>49</v>
      </c>
      <c r="Q9">
        <v>15</v>
      </c>
      <c r="R9">
        <v>1</v>
      </c>
      <c r="S9">
        <v>90</v>
      </c>
      <c r="T9">
        <v>-64.320866670000001</v>
      </c>
      <c r="U9">
        <v>-62.923166670000001</v>
      </c>
      <c r="X9">
        <v>-64.320557210000004</v>
      </c>
      <c r="Y9">
        <v>-62.922370469999997</v>
      </c>
      <c r="Z9" s="10">
        <v>292</v>
      </c>
    </row>
    <row r="10" spans="1:26" x14ac:dyDescent="0.2">
      <c r="A10" t="s">
        <v>25</v>
      </c>
      <c r="B10" t="s">
        <v>47</v>
      </c>
      <c r="C10" t="s">
        <v>32</v>
      </c>
      <c r="D10">
        <v>447</v>
      </c>
      <c r="E10" t="s">
        <v>26</v>
      </c>
      <c r="F10" t="s">
        <v>27</v>
      </c>
      <c r="G10">
        <v>3</v>
      </c>
      <c r="H10" t="str">
        <f t="shared" si="0"/>
        <v>MI_ON_east3</v>
      </c>
      <c r="J10" t="str">
        <f t="shared" si="1"/>
        <v>TANGO2_ROV5_t2</v>
      </c>
      <c r="K10" t="s">
        <v>43</v>
      </c>
      <c r="L10" t="s">
        <v>28</v>
      </c>
      <c r="M10">
        <v>13022024</v>
      </c>
      <c r="N10">
        <v>190</v>
      </c>
      <c r="O10" s="5" t="s">
        <v>50</v>
      </c>
      <c r="P10" s="5" t="s">
        <v>51</v>
      </c>
      <c r="Q10">
        <v>13</v>
      </c>
      <c r="R10">
        <v>1</v>
      </c>
      <c r="S10">
        <v>78</v>
      </c>
      <c r="T10">
        <v>-64.320557210000004</v>
      </c>
      <c r="U10">
        <v>-62.922370469999997</v>
      </c>
      <c r="X10">
        <v>-64.320825420000006</v>
      </c>
      <c r="Y10">
        <v>-62.923060509999999</v>
      </c>
      <c r="Z10" s="10"/>
    </row>
    <row r="11" spans="1:26" x14ac:dyDescent="0.2">
      <c r="A11" t="s">
        <v>25</v>
      </c>
      <c r="B11" t="s">
        <v>52</v>
      </c>
      <c r="C11" t="s">
        <v>24</v>
      </c>
      <c r="D11">
        <v>823</v>
      </c>
      <c r="E11" t="s">
        <v>53</v>
      </c>
      <c r="F11" t="s">
        <v>54</v>
      </c>
      <c r="G11">
        <v>1</v>
      </c>
      <c r="H11" t="str">
        <f t="shared" si="0"/>
        <v>MI_OS_inner1</v>
      </c>
      <c r="I11" t="s">
        <v>207</v>
      </c>
      <c r="J11" t="str">
        <f t="shared" si="1"/>
        <v>TANGO2_ROV6_t1</v>
      </c>
      <c r="K11" t="s">
        <v>55</v>
      </c>
      <c r="L11" t="s">
        <v>28</v>
      </c>
      <c r="M11">
        <v>14022024</v>
      </c>
      <c r="N11">
        <v>0</v>
      </c>
      <c r="O11" s="5" t="s">
        <v>56</v>
      </c>
      <c r="P11" s="5" t="s">
        <v>57</v>
      </c>
      <c r="Q11">
        <v>4</v>
      </c>
      <c r="R11">
        <v>1.2</v>
      </c>
      <c r="S11">
        <v>24</v>
      </c>
      <c r="T11">
        <v>-64.339150000000004</v>
      </c>
      <c r="U11">
        <v>-62.942833329999999</v>
      </c>
      <c r="X11">
        <v>-64.339150000000004</v>
      </c>
      <c r="Y11">
        <v>-62.942617730000002</v>
      </c>
      <c r="Z11">
        <v>85</v>
      </c>
    </row>
    <row r="12" spans="1:26" x14ac:dyDescent="0.2">
      <c r="A12" t="s">
        <v>25</v>
      </c>
      <c r="B12" t="s">
        <v>58</v>
      </c>
      <c r="C12" t="s">
        <v>24</v>
      </c>
      <c r="D12">
        <v>977</v>
      </c>
      <c r="E12" t="s">
        <v>53</v>
      </c>
      <c r="F12" t="s">
        <v>54</v>
      </c>
      <c r="G12">
        <v>1</v>
      </c>
      <c r="H12" t="str">
        <f t="shared" si="0"/>
        <v>MI_OS_mid1</v>
      </c>
      <c r="I12" t="s">
        <v>206</v>
      </c>
      <c r="J12" t="str">
        <f t="shared" si="1"/>
        <v>TANGO2_ROV7_t1</v>
      </c>
      <c r="K12" t="s">
        <v>59</v>
      </c>
      <c r="L12" t="s">
        <v>60</v>
      </c>
      <c r="M12">
        <v>15022024</v>
      </c>
      <c r="N12">
        <v>200</v>
      </c>
      <c r="O12" s="5" t="s">
        <v>61</v>
      </c>
      <c r="P12" s="5" t="s">
        <v>62</v>
      </c>
      <c r="Q12">
        <v>16</v>
      </c>
      <c r="R12">
        <v>1.1000000000000001</v>
      </c>
      <c r="S12">
        <v>96</v>
      </c>
      <c r="T12">
        <v>-64.338930000000005</v>
      </c>
      <c r="U12">
        <v>-62.946004000000002</v>
      </c>
      <c r="X12">
        <v>-64.339315999999997</v>
      </c>
      <c r="Y12">
        <v>-62.945309000000002</v>
      </c>
      <c r="Z12">
        <v>189</v>
      </c>
    </row>
    <row r="13" spans="1:26" x14ac:dyDescent="0.2">
      <c r="A13" t="s">
        <v>25</v>
      </c>
      <c r="B13" t="s">
        <v>58</v>
      </c>
      <c r="C13" t="s">
        <v>32</v>
      </c>
      <c r="D13">
        <v>978</v>
      </c>
      <c r="E13" t="s">
        <v>53</v>
      </c>
      <c r="F13" t="s">
        <v>54</v>
      </c>
      <c r="G13">
        <v>2</v>
      </c>
      <c r="H13" t="str">
        <f t="shared" si="0"/>
        <v>MI_OS_mid2</v>
      </c>
      <c r="I13" t="s">
        <v>205</v>
      </c>
      <c r="J13" t="str">
        <f t="shared" si="1"/>
        <v>TANGO2_ROV7_t2</v>
      </c>
      <c r="K13" t="s">
        <v>59</v>
      </c>
      <c r="L13" t="s">
        <v>60</v>
      </c>
      <c r="M13">
        <v>15022024</v>
      </c>
      <c r="N13">
        <v>95</v>
      </c>
      <c r="O13" s="5" t="s">
        <v>63</v>
      </c>
      <c r="P13" s="5" t="s">
        <v>64</v>
      </c>
      <c r="Q13">
        <v>18</v>
      </c>
      <c r="R13">
        <v>1.1000000000000001</v>
      </c>
      <c r="S13">
        <v>108</v>
      </c>
      <c r="T13">
        <v>-64.338455999999994</v>
      </c>
      <c r="U13">
        <v>-62.948037999999997</v>
      </c>
      <c r="X13">
        <v>-64.338598000000005</v>
      </c>
      <c r="Y13">
        <v>-62.945602999999998</v>
      </c>
      <c r="Z13">
        <v>159</v>
      </c>
    </row>
    <row r="14" spans="1:26" x14ac:dyDescent="0.2">
      <c r="A14" t="s">
        <v>25</v>
      </c>
      <c r="B14" t="s">
        <v>58</v>
      </c>
      <c r="C14" t="s">
        <v>65</v>
      </c>
      <c r="D14">
        <v>979</v>
      </c>
      <c r="E14" t="s">
        <v>53</v>
      </c>
      <c r="F14" t="s">
        <v>54</v>
      </c>
      <c r="G14">
        <v>3</v>
      </c>
      <c r="H14" t="str">
        <f t="shared" si="0"/>
        <v>MI_OS_mid3</v>
      </c>
      <c r="I14" t="s">
        <v>204</v>
      </c>
      <c r="J14" t="str">
        <f t="shared" si="1"/>
        <v>TANGO2_ROV7_t3</v>
      </c>
      <c r="K14" t="s">
        <v>59</v>
      </c>
      <c r="L14" t="s">
        <v>60</v>
      </c>
      <c r="M14">
        <v>15022024</v>
      </c>
      <c r="N14">
        <v>90</v>
      </c>
      <c r="O14" s="5" t="s">
        <v>66</v>
      </c>
      <c r="P14" s="5" t="s">
        <v>67</v>
      </c>
      <c r="Q14">
        <v>18</v>
      </c>
      <c r="R14">
        <v>1.1000000000000001</v>
      </c>
      <c r="S14">
        <v>108</v>
      </c>
      <c r="T14">
        <v>-64.337843000000007</v>
      </c>
      <c r="U14">
        <v>-62.947825999999999</v>
      </c>
      <c r="X14">
        <v>-64.338183000000001</v>
      </c>
      <c r="Y14">
        <v>-62.946271000000003</v>
      </c>
      <c r="Z14">
        <v>164</v>
      </c>
    </row>
    <row r="15" spans="1:26" x14ac:dyDescent="0.2">
      <c r="A15" t="s">
        <v>25</v>
      </c>
      <c r="B15" t="s">
        <v>68</v>
      </c>
      <c r="C15" t="s">
        <v>24</v>
      </c>
      <c r="D15">
        <v>980</v>
      </c>
      <c r="E15" t="s">
        <v>53</v>
      </c>
      <c r="F15" t="s">
        <v>54</v>
      </c>
      <c r="G15">
        <v>4</v>
      </c>
      <c r="H15" t="str">
        <f t="shared" si="0"/>
        <v>MI_OS_mid4</v>
      </c>
      <c r="I15" t="s">
        <v>203</v>
      </c>
      <c r="J15" t="str">
        <f t="shared" si="1"/>
        <v>TANGO2_ROV8_t1</v>
      </c>
      <c r="K15" t="s">
        <v>59</v>
      </c>
      <c r="L15" t="s">
        <v>60</v>
      </c>
      <c r="M15">
        <v>15022024</v>
      </c>
      <c r="N15">
        <v>175</v>
      </c>
      <c r="O15" s="5" t="s">
        <v>69</v>
      </c>
      <c r="P15" s="5"/>
      <c r="Q15" s="7"/>
      <c r="R15" s="5"/>
      <c r="S15">
        <v>0</v>
      </c>
      <c r="T15" t="s">
        <v>31</v>
      </c>
      <c r="U15" t="s">
        <v>31</v>
      </c>
      <c r="X15" t="s">
        <v>31</v>
      </c>
      <c r="Y15" t="s">
        <v>31</v>
      </c>
      <c r="Z15">
        <v>95</v>
      </c>
    </row>
    <row r="16" spans="1:26" x14ac:dyDescent="0.2">
      <c r="A16" t="s">
        <v>25</v>
      </c>
      <c r="B16" t="s">
        <v>70</v>
      </c>
      <c r="C16" t="s">
        <v>24</v>
      </c>
      <c r="D16">
        <v>1198</v>
      </c>
      <c r="E16" t="s">
        <v>53</v>
      </c>
      <c r="F16" t="s">
        <v>54</v>
      </c>
      <c r="G16">
        <v>2</v>
      </c>
      <c r="H16" t="str">
        <f t="shared" si="0"/>
        <v>MI_OS_inner2</v>
      </c>
      <c r="I16" t="s">
        <v>202</v>
      </c>
      <c r="J16" t="str">
        <f t="shared" si="1"/>
        <v>TANGO2_ROV9_t1</v>
      </c>
      <c r="K16" t="s">
        <v>55</v>
      </c>
      <c r="L16" t="s">
        <v>28</v>
      </c>
      <c r="M16">
        <v>16022024</v>
      </c>
      <c r="N16">
        <v>90</v>
      </c>
      <c r="O16" s="5" t="s">
        <v>71</v>
      </c>
      <c r="P16" s="5" t="s">
        <v>72</v>
      </c>
      <c r="Q16">
        <v>15</v>
      </c>
      <c r="R16">
        <v>1</v>
      </c>
      <c r="S16">
        <v>90</v>
      </c>
      <c r="T16">
        <v>-64.339133329999996</v>
      </c>
      <c r="U16">
        <v>-62.942683330000001</v>
      </c>
      <c r="X16">
        <v>-64.337350000000001</v>
      </c>
      <c r="Y16">
        <v>-62.94268332</v>
      </c>
      <c r="Z16" s="6">
        <v>180</v>
      </c>
    </row>
    <row r="17" spans="1:26" x14ac:dyDescent="0.2">
      <c r="A17" t="s">
        <v>25</v>
      </c>
      <c r="B17" t="s">
        <v>70</v>
      </c>
      <c r="C17" t="s">
        <v>32</v>
      </c>
      <c r="D17">
        <v>1199</v>
      </c>
      <c r="E17" t="s">
        <v>53</v>
      </c>
      <c r="F17" t="s">
        <v>54</v>
      </c>
      <c r="G17">
        <v>3</v>
      </c>
      <c r="H17" t="str">
        <f t="shared" si="0"/>
        <v>MI_OS_inner3</v>
      </c>
      <c r="I17" t="s">
        <v>201</v>
      </c>
      <c r="J17" t="str">
        <f t="shared" si="1"/>
        <v>TANGO2_ROV9_t2</v>
      </c>
      <c r="K17" t="s">
        <v>55</v>
      </c>
      <c r="L17" t="s">
        <v>28</v>
      </c>
      <c r="M17">
        <v>16022024</v>
      </c>
      <c r="N17">
        <v>317</v>
      </c>
      <c r="O17" s="5" t="s">
        <v>73</v>
      </c>
      <c r="P17" s="5" t="s">
        <v>74</v>
      </c>
      <c r="Q17">
        <v>16</v>
      </c>
      <c r="R17">
        <v>1</v>
      </c>
      <c r="S17">
        <v>96</v>
      </c>
      <c r="T17">
        <v>-64.338783329999998</v>
      </c>
      <c r="U17">
        <v>-62.942599999999999</v>
      </c>
      <c r="X17">
        <v>-64.340080610000001</v>
      </c>
      <c r="Y17">
        <v>-62.941969290000003</v>
      </c>
      <c r="Z17" s="11">
        <v>225</v>
      </c>
    </row>
    <row r="18" spans="1:26" x14ac:dyDescent="0.2">
      <c r="A18" t="s">
        <v>25</v>
      </c>
      <c r="B18" t="s">
        <v>70</v>
      </c>
      <c r="C18" t="s">
        <v>65</v>
      </c>
      <c r="D18">
        <v>1200</v>
      </c>
      <c r="E18" t="s">
        <v>53</v>
      </c>
      <c r="F18" t="s">
        <v>54</v>
      </c>
      <c r="G18">
        <v>4</v>
      </c>
      <c r="H18" t="str">
        <f t="shared" si="0"/>
        <v>MI_OS_inner4</v>
      </c>
      <c r="I18" t="s">
        <v>200</v>
      </c>
      <c r="J18" t="str">
        <f t="shared" si="1"/>
        <v>TANGO2_ROV9_t3</v>
      </c>
      <c r="K18" t="s">
        <v>55</v>
      </c>
      <c r="L18" t="s">
        <v>28</v>
      </c>
      <c r="M18">
        <v>16022024</v>
      </c>
      <c r="N18">
        <v>218</v>
      </c>
      <c r="O18" s="5" t="s">
        <v>75</v>
      </c>
      <c r="P18" s="5" t="s">
        <v>76</v>
      </c>
      <c r="Q18">
        <v>9</v>
      </c>
      <c r="R18">
        <v>1</v>
      </c>
      <c r="S18">
        <v>54</v>
      </c>
      <c r="T18">
        <v>-64.340080610000001</v>
      </c>
      <c r="U18">
        <v>-62.941969290000003</v>
      </c>
      <c r="X18">
        <v>-64.340739360000001</v>
      </c>
      <c r="Y18">
        <v>-62.942351539999997</v>
      </c>
      <c r="Z18" s="11"/>
    </row>
    <row r="19" spans="1:26" x14ac:dyDescent="0.2">
      <c r="A19" t="s">
        <v>25</v>
      </c>
      <c r="B19" t="s">
        <v>77</v>
      </c>
      <c r="C19" t="s">
        <v>24</v>
      </c>
      <c r="D19">
        <v>1201</v>
      </c>
      <c r="E19" t="s">
        <v>53</v>
      </c>
      <c r="F19" t="s">
        <v>54</v>
      </c>
      <c r="G19">
        <v>1</v>
      </c>
      <c r="H19" t="str">
        <f t="shared" si="0"/>
        <v>MI_OS_outer1</v>
      </c>
      <c r="I19" t="s">
        <v>172</v>
      </c>
      <c r="J19" t="str">
        <f t="shared" si="1"/>
        <v>TANGO2_ROV10_t1</v>
      </c>
      <c r="K19" t="s">
        <v>78</v>
      </c>
      <c r="L19" t="s">
        <v>60</v>
      </c>
      <c r="M19">
        <v>16022024</v>
      </c>
      <c r="N19">
        <v>160</v>
      </c>
      <c r="O19" s="5" t="s">
        <v>79</v>
      </c>
      <c r="P19" s="5" t="s">
        <v>57</v>
      </c>
      <c r="Q19">
        <v>15</v>
      </c>
      <c r="R19">
        <v>1</v>
      </c>
      <c r="S19">
        <v>90</v>
      </c>
      <c r="T19">
        <v>-64.337350000000001</v>
      </c>
      <c r="U19">
        <v>-62.95763333</v>
      </c>
      <c r="X19">
        <v>-64.336739739999999</v>
      </c>
      <c r="Y19">
        <v>-62.958393049999998</v>
      </c>
      <c r="Z19" s="10">
        <v>544</v>
      </c>
    </row>
    <row r="20" spans="1:26" x14ac:dyDescent="0.2">
      <c r="A20" t="s">
        <v>25</v>
      </c>
      <c r="B20" t="s">
        <v>77</v>
      </c>
      <c r="C20" t="s">
        <v>32</v>
      </c>
      <c r="D20">
        <v>1202</v>
      </c>
      <c r="E20" t="s">
        <v>53</v>
      </c>
      <c r="F20" t="s">
        <v>54</v>
      </c>
      <c r="G20">
        <v>2</v>
      </c>
      <c r="H20" t="str">
        <f t="shared" si="0"/>
        <v>MI_OS_outer2</v>
      </c>
      <c r="I20" t="s">
        <v>173</v>
      </c>
      <c r="J20" t="str">
        <f t="shared" si="1"/>
        <v>TANGO2_ROV10_t2</v>
      </c>
      <c r="K20" t="s">
        <v>78</v>
      </c>
      <c r="L20" t="s">
        <v>60</v>
      </c>
      <c r="M20">
        <v>16022024</v>
      </c>
      <c r="N20">
        <v>270</v>
      </c>
      <c r="O20" s="5" t="s">
        <v>80</v>
      </c>
      <c r="P20" s="5" t="s">
        <v>81</v>
      </c>
      <c r="Q20">
        <v>15</v>
      </c>
      <c r="R20">
        <v>1</v>
      </c>
      <c r="S20">
        <v>90</v>
      </c>
      <c r="T20">
        <v>-64.336739739999999</v>
      </c>
      <c r="U20">
        <v>-62.958393049999998</v>
      </c>
      <c r="X20">
        <v>-64.338524019999994</v>
      </c>
      <c r="Y20">
        <v>-62.958393039999997</v>
      </c>
      <c r="Z20" s="10"/>
    </row>
    <row r="21" spans="1:26" x14ac:dyDescent="0.2">
      <c r="A21" t="s">
        <v>25</v>
      </c>
      <c r="B21" t="s">
        <v>77</v>
      </c>
      <c r="C21" t="s">
        <v>65</v>
      </c>
      <c r="D21">
        <v>1203</v>
      </c>
      <c r="E21" t="s">
        <v>53</v>
      </c>
      <c r="F21" t="s">
        <v>54</v>
      </c>
      <c r="G21">
        <v>3</v>
      </c>
      <c r="H21" t="str">
        <f t="shared" si="0"/>
        <v>MI_OS_outer3</v>
      </c>
      <c r="I21" t="s">
        <v>174</v>
      </c>
      <c r="J21" t="str">
        <f t="shared" si="1"/>
        <v>TANGO2_ROV10_t3</v>
      </c>
      <c r="K21" t="s">
        <v>78</v>
      </c>
      <c r="L21" t="s">
        <v>60</v>
      </c>
      <c r="M21">
        <v>16022024</v>
      </c>
      <c r="N21">
        <v>20</v>
      </c>
      <c r="O21" s="5" t="s">
        <v>82</v>
      </c>
      <c r="P21" s="5" t="s">
        <v>83</v>
      </c>
      <c r="Q21">
        <v>15</v>
      </c>
      <c r="R21">
        <v>1</v>
      </c>
      <c r="S21">
        <v>90</v>
      </c>
      <c r="T21">
        <v>-64.338524019999994</v>
      </c>
      <c r="U21">
        <v>-62.958393039999997</v>
      </c>
      <c r="X21">
        <v>-64.337913779999994</v>
      </c>
      <c r="Y21">
        <v>-62.957633319999999</v>
      </c>
      <c r="Z21" s="10"/>
    </row>
    <row r="22" spans="1:26" x14ac:dyDescent="0.2">
      <c r="A22" t="s">
        <v>25</v>
      </c>
      <c r="B22" t="s">
        <v>84</v>
      </c>
      <c r="C22" t="s">
        <v>24</v>
      </c>
      <c r="D22">
        <v>1584</v>
      </c>
      <c r="E22" t="s">
        <v>85</v>
      </c>
      <c r="F22" t="s">
        <v>86</v>
      </c>
      <c r="G22">
        <v>1</v>
      </c>
      <c r="H22" t="str">
        <f t="shared" si="0"/>
        <v>HI_boat1</v>
      </c>
      <c r="J22" t="str">
        <f t="shared" si="1"/>
        <v>TANGO2_ROV11_t1</v>
      </c>
      <c r="K22" t="s">
        <v>87</v>
      </c>
      <c r="L22" t="s">
        <v>28</v>
      </c>
      <c r="M22">
        <v>17022024</v>
      </c>
      <c r="N22">
        <v>90</v>
      </c>
      <c r="O22" s="5" t="s">
        <v>88</v>
      </c>
      <c r="P22" s="5" t="s">
        <v>89</v>
      </c>
      <c r="Q22">
        <v>15</v>
      </c>
      <c r="R22">
        <v>1</v>
      </c>
      <c r="S22">
        <v>90</v>
      </c>
      <c r="T22">
        <v>-65.101299999999995</v>
      </c>
      <c r="U22">
        <v>-64.082483330000002</v>
      </c>
      <c r="X22">
        <v>-65.099444030000001</v>
      </c>
      <c r="Y22">
        <v>-64.082483319999994</v>
      </c>
      <c r="Z22">
        <v>143</v>
      </c>
    </row>
    <row r="23" spans="1:26" x14ac:dyDescent="0.2">
      <c r="A23" t="s">
        <v>25</v>
      </c>
      <c r="B23" t="s">
        <v>90</v>
      </c>
      <c r="C23" t="s">
        <v>24</v>
      </c>
      <c r="D23">
        <v>1676</v>
      </c>
      <c r="E23" t="s">
        <v>85</v>
      </c>
      <c r="F23" t="s">
        <v>86</v>
      </c>
      <c r="G23">
        <v>2</v>
      </c>
      <c r="H23" t="str">
        <f t="shared" si="0"/>
        <v>HI_boat2</v>
      </c>
      <c r="J23" t="str">
        <f t="shared" si="1"/>
        <v>TANGO2_ROV12_t1</v>
      </c>
      <c r="K23" t="s">
        <v>87</v>
      </c>
      <c r="L23" t="s">
        <v>28</v>
      </c>
      <c r="M23">
        <v>18022024</v>
      </c>
      <c r="N23">
        <v>180</v>
      </c>
      <c r="O23" s="5" t="s">
        <v>91</v>
      </c>
      <c r="P23" s="5" t="s">
        <v>92</v>
      </c>
      <c r="Q23">
        <v>15</v>
      </c>
      <c r="R23">
        <v>0.8</v>
      </c>
      <c r="S23">
        <v>90</v>
      </c>
      <c r="T23">
        <v>-65.101266670000001</v>
      </c>
      <c r="U23">
        <v>-64.082549999999998</v>
      </c>
      <c r="X23">
        <v>-65.101266670000001</v>
      </c>
      <c r="Y23">
        <v>-64.083358480000001</v>
      </c>
      <c r="Z23" s="10">
        <v>327</v>
      </c>
    </row>
    <row r="24" spans="1:26" x14ac:dyDescent="0.2">
      <c r="A24" t="s">
        <v>25</v>
      </c>
      <c r="B24" t="s">
        <v>90</v>
      </c>
      <c r="C24" t="s">
        <v>32</v>
      </c>
      <c r="D24">
        <v>1677</v>
      </c>
      <c r="E24" t="s">
        <v>85</v>
      </c>
      <c r="F24" t="s">
        <v>86</v>
      </c>
      <c r="G24">
        <v>3</v>
      </c>
      <c r="H24" t="str">
        <f t="shared" si="0"/>
        <v>HI_boat3</v>
      </c>
      <c r="J24" t="str">
        <f t="shared" si="1"/>
        <v>TANGO2_ROV12_t2</v>
      </c>
      <c r="K24" t="s">
        <v>87</v>
      </c>
      <c r="L24" t="s">
        <v>28</v>
      </c>
      <c r="M24">
        <v>18022024</v>
      </c>
      <c r="N24">
        <v>325</v>
      </c>
      <c r="O24" s="5" t="s">
        <v>93</v>
      </c>
      <c r="P24" s="5" t="s">
        <v>40</v>
      </c>
      <c r="Q24">
        <v>15</v>
      </c>
      <c r="R24">
        <v>0.8</v>
      </c>
      <c r="S24">
        <v>90</v>
      </c>
      <c r="T24">
        <v>-65.101266670000001</v>
      </c>
      <c r="U24">
        <v>-64.083358480000001</v>
      </c>
      <c r="X24">
        <v>-65.102331219999996</v>
      </c>
      <c r="Y24">
        <v>-64.082696209999995</v>
      </c>
      <c r="Z24" s="10"/>
    </row>
    <row r="25" spans="1:26" x14ac:dyDescent="0.2">
      <c r="A25" t="s">
        <v>25</v>
      </c>
      <c r="B25" t="s">
        <v>90</v>
      </c>
      <c r="C25" t="s">
        <v>65</v>
      </c>
      <c r="D25">
        <v>1678</v>
      </c>
      <c r="E25" t="s">
        <v>85</v>
      </c>
      <c r="F25" t="s">
        <v>86</v>
      </c>
      <c r="G25">
        <v>4</v>
      </c>
      <c r="H25" t="str">
        <f t="shared" si="0"/>
        <v>HI_boat4</v>
      </c>
      <c r="J25" t="str">
        <f t="shared" si="1"/>
        <v>TANGO2_ROV12_t3</v>
      </c>
      <c r="K25" t="s">
        <v>87</v>
      </c>
      <c r="L25" t="s">
        <v>28</v>
      </c>
      <c r="M25">
        <v>18022024</v>
      </c>
      <c r="N25">
        <v>270</v>
      </c>
      <c r="O25" s="5" t="s">
        <v>94</v>
      </c>
      <c r="P25" s="5" t="s">
        <v>95</v>
      </c>
      <c r="Q25">
        <v>15</v>
      </c>
      <c r="R25">
        <v>0.8</v>
      </c>
      <c r="S25">
        <v>90</v>
      </c>
      <c r="T25">
        <v>-65.102331219999996</v>
      </c>
      <c r="U25">
        <v>-64.082696209999995</v>
      </c>
      <c r="X25">
        <v>-65.104187210000006</v>
      </c>
      <c r="Y25">
        <v>-64.082696200000001</v>
      </c>
      <c r="Z25" s="10"/>
    </row>
    <row r="26" spans="1:26" x14ac:dyDescent="0.2">
      <c r="A26" t="s">
        <v>25</v>
      </c>
      <c r="B26" t="s">
        <v>96</v>
      </c>
      <c r="C26" t="s">
        <v>24</v>
      </c>
      <c r="D26">
        <v>2270</v>
      </c>
      <c r="E26" t="s">
        <v>85</v>
      </c>
      <c r="F26" t="s">
        <v>86</v>
      </c>
      <c r="G26">
        <v>1</v>
      </c>
      <c r="H26" t="str">
        <f t="shared" si="0"/>
        <v>HI_outside1</v>
      </c>
      <c r="I26" t="s">
        <v>175</v>
      </c>
      <c r="J26" t="str">
        <f t="shared" si="1"/>
        <v>TANGO2_ROV13_t1</v>
      </c>
      <c r="K26" t="s">
        <v>97</v>
      </c>
      <c r="L26" t="s">
        <v>28</v>
      </c>
      <c r="M26">
        <v>19022024</v>
      </c>
      <c r="N26">
        <v>10</v>
      </c>
      <c r="O26" s="5" t="s">
        <v>98</v>
      </c>
      <c r="P26" s="5" t="s">
        <v>99</v>
      </c>
      <c r="Q26">
        <v>15</v>
      </c>
      <c r="R26">
        <v>1</v>
      </c>
      <c r="S26">
        <v>90</v>
      </c>
      <c r="T26">
        <v>-65.096783329999994</v>
      </c>
      <c r="U26">
        <v>-64.092366670000004</v>
      </c>
      <c r="X26">
        <v>-65.09646094</v>
      </c>
      <c r="Y26">
        <v>-64.091570469999994</v>
      </c>
      <c r="Z26" s="10">
        <v>335</v>
      </c>
    </row>
    <row r="27" spans="1:26" x14ac:dyDescent="0.2">
      <c r="A27" t="s">
        <v>25</v>
      </c>
      <c r="B27" t="s">
        <v>96</v>
      </c>
      <c r="C27" t="s">
        <v>32</v>
      </c>
      <c r="D27">
        <v>2271</v>
      </c>
      <c r="E27" t="s">
        <v>85</v>
      </c>
      <c r="F27" t="s">
        <v>86</v>
      </c>
      <c r="G27">
        <v>2</v>
      </c>
      <c r="H27" t="str">
        <f t="shared" si="0"/>
        <v>HI_outside2</v>
      </c>
      <c r="I27" t="s">
        <v>176</v>
      </c>
      <c r="J27" t="str">
        <f t="shared" si="1"/>
        <v>TANGO2_ROV13_t2</v>
      </c>
      <c r="K27" t="s">
        <v>97</v>
      </c>
      <c r="L27" t="s">
        <v>28</v>
      </c>
      <c r="M27">
        <v>19022024</v>
      </c>
      <c r="N27">
        <v>55</v>
      </c>
      <c r="O27" s="5" t="s">
        <v>100</v>
      </c>
      <c r="P27" s="5" t="s">
        <v>101</v>
      </c>
      <c r="Q27">
        <v>16</v>
      </c>
      <c r="R27">
        <v>1</v>
      </c>
      <c r="S27">
        <v>96</v>
      </c>
      <c r="T27">
        <v>-65.096800000000002</v>
      </c>
      <c r="U27">
        <v>-64.092600000000004</v>
      </c>
      <c r="X27">
        <v>-65.095177759999999</v>
      </c>
      <c r="Y27">
        <v>-64.092105349999997</v>
      </c>
      <c r="Z27" s="10"/>
    </row>
    <row r="28" spans="1:26" x14ac:dyDescent="0.2">
      <c r="A28" t="s">
        <v>25</v>
      </c>
      <c r="B28" t="s">
        <v>96</v>
      </c>
      <c r="C28" t="s">
        <v>65</v>
      </c>
      <c r="D28">
        <v>2272</v>
      </c>
      <c r="E28" t="s">
        <v>85</v>
      </c>
      <c r="F28" t="s">
        <v>86</v>
      </c>
      <c r="G28">
        <v>3</v>
      </c>
      <c r="H28" t="str">
        <f t="shared" si="0"/>
        <v>HI_outside3</v>
      </c>
      <c r="I28" t="s">
        <v>177</v>
      </c>
      <c r="J28" t="str">
        <f t="shared" si="1"/>
        <v>TANGO2_ROV13_t3</v>
      </c>
      <c r="K28" t="s">
        <v>97</v>
      </c>
      <c r="L28" t="s">
        <v>28</v>
      </c>
      <c r="M28">
        <v>19022024</v>
      </c>
      <c r="N28">
        <v>100</v>
      </c>
      <c r="O28" s="5" t="s">
        <v>102</v>
      </c>
      <c r="P28" s="5" t="s">
        <v>103</v>
      </c>
      <c r="Q28">
        <v>15</v>
      </c>
      <c r="R28">
        <v>1</v>
      </c>
      <c r="S28">
        <v>90</v>
      </c>
      <c r="T28">
        <v>-65.096783329999994</v>
      </c>
      <c r="U28">
        <v>-64.092716670000001</v>
      </c>
      <c r="X28">
        <v>-65.094954869999995</v>
      </c>
      <c r="Y28">
        <v>-64.092857050000006</v>
      </c>
      <c r="Z28">
        <v>161</v>
      </c>
    </row>
    <row r="29" spans="1:26" x14ac:dyDescent="0.2">
      <c r="A29" t="s">
        <v>25</v>
      </c>
      <c r="B29" t="s">
        <v>104</v>
      </c>
      <c r="C29" t="s">
        <v>24</v>
      </c>
      <c r="D29">
        <v>2756</v>
      </c>
      <c r="E29" t="s">
        <v>85</v>
      </c>
      <c r="F29" t="s">
        <v>86</v>
      </c>
      <c r="G29">
        <v>1</v>
      </c>
      <c r="H29" t="str">
        <f t="shared" si="0"/>
        <v>HI_channel1</v>
      </c>
      <c r="I29" t="s">
        <v>178</v>
      </c>
      <c r="J29" t="str">
        <f t="shared" si="1"/>
        <v>TANGO2_ROV14_t1</v>
      </c>
      <c r="K29" t="s">
        <v>105</v>
      </c>
      <c r="L29" t="s">
        <v>60</v>
      </c>
      <c r="M29">
        <v>20022024</v>
      </c>
      <c r="N29">
        <v>90</v>
      </c>
      <c r="O29" s="5" t="s">
        <v>106</v>
      </c>
      <c r="P29" s="5" t="s">
        <v>107</v>
      </c>
      <c r="Q29">
        <v>15</v>
      </c>
      <c r="R29">
        <v>1.1000000000000001</v>
      </c>
      <c r="S29">
        <v>90</v>
      </c>
      <c r="T29">
        <v>-65.103883330000002</v>
      </c>
      <c r="U29">
        <v>-64.082949999999997</v>
      </c>
      <c r="X29">
        <v>-65.102027320000005</v>
      </c>
      <c r="Y29">
        <v>-64.082949990000003</v>
      </c>
      <c r="Z29" s="11">
        <v>307</v>
      </c>
    </row>
    <row r="30" spans="1:26" x14ac:dyDescent="0.2">
      <c r="A30" t="s">
        <v>25</v>
      </c>
      <c r="B30" t="s">
        <v>104</v>
      </c>
      <c r="C30" t="s">
        <v>108</v>
      </c>
      <c r="D30">
        <v>2757</v>
      </c>
      <c r="E30" t="s">
        <v>85</v>
      </c>
      <c r="F30" t="s">
        <v>86</v>
      </c>
      <c r="G30">
        <v>2</v>
      </c>
      <c r="H30" t="str">
        <f t="shared" si="0"/>
        <v>HI_channel2</v>
      </c>
      <c r="I30" t="s">
        <v>179</v>
      </c>
      <c r="J30" t="str">
        <f t="shared" si="1"/>
        <v>TANGO2_ROV14_q1</v>
      </c>
      <c r="K30" t="s">
        <v>105</v>
      </c>
      <c r="L30" t="s">
        <v>60</v>
      </c>
      <c r="M30">
        <v>20022024</v>
      </c>
      <c r="N30" t="s">
        <v>31</v>
      </c>
      <c r="O30" s="5" t="s">
        <v>109</v>
      </c>
      <c r="P30" s="5" t="s">
        <v>110</v>
      </c>
      <c r="Q30">
        <v>19</v>
      </c>
      <c r="R30">
        <v>1</v>
      </c>
      <c r="S30" t="s">
        <v>31</v>
      </c>
      <c r="T30">
        <v>-65.102357280000007</v>
      </c>
      <c r="U30">
        <v>-64.082949990000003</v>
      </c>
      <c r="X30" t="s">
        <v>31</v>
      </c>
      <c r="Y30" t="s">
        <v>31</v>
      </c>
      <c r="Z30" s="11"/>
    </row>
    <row r="31" spans="1:26" x14ac:dyDescent="0.2">
      <c r="A31" t="s">
        <v>25</v>
      </c>
      <c r="B31" t="s">
        <v>104</v>
      </c>
      <c r="C31" t="s">
        <v>32</v>
      </c>
      <c r="D31">
        <v>2758</v>
      </c>
      <c r="E31" t="s">
        <v>85</v>
      </c>
      <c r="F31" t="s">
        <v>86</v>
      </c>
      <c r="G31">
        <v>3</v>
      </c>
      <c r="H31" t="str">
        <f t="shared" si="0"/>
        <v>HI_channel3</v>
      </c>
      <c r="I31" t="s">
        <v>180</v>
      </c>
      <c r="J31" t="str">
        <f t="shared" si="1"/>
        <v>TANGO2_ROV14_t2</v>
      </c>
      <c r="K31" t="s">
        <v>105</v>
      </c>
      <c r="L31" t="s">
        <v>60</v>
      </c>
      <c r="M31">
        <v>20022024</v>
      </c>
      <c r="N31">
        <v>135</v>
      </c>
      <c r="O31" s="5" t="s">
        <v>111</v>
      </c>
      <c r="P31" s="5" t="s">
        <v>112</v>
      </c>
      <c r="Q31">
        <v>15</v>
      </c>
      <c r="R31">
        <v>1</v>
      </c>
      <c r="S31">
        <v>90</v>
      </c>
      <c r="T31">
        <v>-65.103883330000002</v>
      </c>
      <c r="U31">
        <v>-64.082949999999997</v>
      </c>
      <c r="X31">
        <v>-65.102570909999997</v>
      </c>
      <c r="Y31">
        <v>-64.083521680000004</v>
      </c>
      <c r="Z31">
        <v>131</v>
      </c>
    </row>
    <row r="32" spans="1:26" x14ac:dyDescent="0.2">
      <c r="A32" t="s">
        <v>25</v>
      </c>
      <c r="B32" t="s">
        <v>104</v>
      </c>
      <c r="C32" t="s">
        <v>65</v>
      </c>
      <c r="D32">
        <v>2759</v>
      </c>
      <c r="E32" t="s">
        <v>85</v>
      </c>
      <c r="F32" t="s">
        <v>86</v>
      </c>
      <c r="G32">
        <v>4</v>
      </c>
      <c r="H32" t="str">
        <f t="shared" si="0"/>
        <v>HI_channel4</v>
      </c>
      <c r="I32" t="s">
        <v>181</v>
      </c>
      <c r="J32" t="str">
        <f t="shared" si="1"/>
        <v>TANGO2_ROV14_t3</v>
      </c>
      <c r="K32" t="s">
        <v>105</v>
      </c>
      <c r="L32" t="s">
        <v>60</v>
      </c>
      <c r="M32">
        <v>20022024</v>
      </c>
      <c r="N32">
        <v>190</v>
      </c>
      <c r="O32" s="5" t="s">
        <v>113</v>
      </c>
      <c r="P32" s="5" t="s">
        <v>114</v>
      </c>
      <c r="Q32">
        <v>14</v>
      </c>
      <c r="R32">
        <v>1</v>
      </c>
      <c r="S32">
        <v>84</v>
      </c>
      <c r="T32">
        <v>-65.103883330000002</v>
      </c>
      <c r="U32">
        <v>-64.082949999999997</v>
      </c>
      <c r="X32">
        <v>-65.104184140000001</v>
      </c>
      <c r="Y32">
        <v>-64.083693120000007</v>
      </c>
      <c r="Z32">
        <v>131</v>
      </c>
    </row>
    <row r="33" spans="1:26" x14ac:dyDescent="0.2">
      <c r="A33" t="s">
        <v>25</v>
      </c>
      <c r="B33" t="s">
        <v>115</v>
      </c>
      <c r="C33" t="s">
        <v>24</v>
      </c>
      <c r="D33">
        <v>3166</v>
      </c>
      <c r="E33" t="s">
        <v>85</v>
      </c>
      <c r="F33" t="s">
        <v>86</v>
      </c>
      <c r="G33">
        <v>1</v>
      </c>
      <c r="H33" t="str">
        <f t="shared" si="0"/>
        <v>HI_south pool1</v>
      </c>
      <c r="I33" t="s">
        <v>182</v>
      </c>
      <c r="J33" t="str">
        <f t="shared" si="1"/>
        <v>TANGO2_ROV15_t1</v>
      </c>
      <c r="K33" t="s">
        <v>116</v>
      </c>
      <c r="L33" t="s">
        <v>60</v>
      </c>
      <c r="M33">
        <v>21022024</v>
      </c>
      <c r="N33">
        <v>230</v>
      </c>
      <c r="O33" s="5" t="s">
        <v>117</v>
      </c>
      <c r="P33" s="5" t="s">
        <v>118</v>
      </c>
      <c r="Q33">
        <v>8</v>
      </c>
      <c r="R33">
        <v>1</v>
      </c>
      <c r="S33">
        <v>48</v>
      </c>
      <c r="T33">
        <v>-65.107416670000006</v>
      </c>
      <c r="U33">
        <v>-64.074716670000001</v>
      </c>
      <c r="X33">
        <v>-65.108174739999995</v>
      </c>
      <c r="Y33">
        <v>-64.074993829999997</v>
      </c>
      <c r="Z33" s="11">
        <v>374</v>
      </c>
    </row>
    <row r="34" spans="1:26" x14ac:dyDescent="0.2">
      <c r="A34" t="s">
        <v>25</v>
      </c>
      <c r="B34" t="s">
        <v>115</v>
      </c>
      <c r="C34" t="s">
        <v>32</v>
      </c>
      <c r="D34">
        <v>3167</v>
      </c>
      <c r="E34" t="s">
        <v>85</v>
      </c>
      <c r="F34" t="s">
        <v>86</v>
      </c>
      <c r="G34">
        <v>2</v>
      </c>
      <c r="H34" t="str">
        <f t="shared" ref="H34:H65" si="2">F34&amp;"_"&amp;K34&amp;G34</f>
        <v>HI_south pool2</v>
      </c>
      <c r="I34" t="s">
        <v>183</v>
      </c>
      <c r="J34" t="str">
        <f t="shared" ref="J34:J50" si="3">A34&amp;"_"&amp;B34&amp;"_"&amp;C34</f>
        <v>TANGO2_ROV15_t2</v>
      </c>
      <c r="K34" t="s">
        <v>116</v>
      </c>
      <c r="L34" t="s">
        <v>60</v>
      </c>
      <c r="M34">
        <v>21022024</v>
      </c>
      <c r="N34">
        <v>300</v>
      </c>
      <c r="O34" s="5" t="s">
        <v>119</v>
      </c>
      <c r="P34" s="5" t="s">
        <v>64</v>
      </c>
      <c r="Q34">
        <v>15</v>
      </c>
      <c r="R34">
        <v>1</v>
      </c>
      <c r="S34">
        <v>90</v>
      </c>
      <c r="T34">
        <v>-65.107033329999993</v>
      </c>
      <c r="U34">
        <v>-64.074916669999993</v>
      </c>
      <c r="X34">
        <v>-65.108640190000003</v>
      </c>
      <c r="Y34">
        <v>-64.074512420000005</v>
      </c>
      <c r="Z34" s="11"/>
    </row>
    <row r="35" spans="1:26" x14ac:dyDescent="0.2">
      <c r="A35" t="s">
        <v>25</v>
      </c>
      <c r="B35" t="s">
        <v>115</v>
      </c>
      <c r="C35" t="s">
        <v>65</v>
      </c>
      <c r="D35">
        <v>3168</v>
      </c>
      <c r="E35" t="s">
        <v>85</v>
      </c>
      <c r="F35" t="s">
        <v>86</v>
      </c>
      <c r="G35">
        <v>3</v>
      </c>
      <c r="H35" t="str">
        <f t="shared" si="2"/>
        <v>HI_south pool3</v>
      </c>
      <c r="I35" t="s">
        <v>184</v>
      </c>
      <c r="J35" t="str">
        <f t="shared" si="3"/>
        <v>TANGO2_ROV15_t3</v>
      </c>
      <c r="K35" t="s">
        <v>116</v>
      </c>
      <c r="L35" t="s">
        <v>60</v>
      </c>
      <c r="M35">
        <v>21022024</v>
      </c>
      <c r="N35">
        <v>140</v>
      </c>
      <c r="O35" s="5" t="s">
        <v>120</v>
      </c>
      <c r="P35" s="5" t="s">
        <v>121</v>
      </c>
      <c r="Q35">
        <v>16</v>
      </c>
      <c r="R35">
        <v>1</v>
      </c>
      <c r="S35">
        <v>96</v>
      </c>
      <c r="T35">
        <v>-65.107083329999995</v>
      </c>
      <c r="U35">
        <v>-64.074816670000004</v>
      </c>
      <c r="X35">
        <v>-65.105811119999998</v>
      </c>
      <c r="Y35">
        <v>-64.075477289999995</v>
      </c>
      <c r="Z35" s="11"/>
    </row>
    <row r="36" spans="1:26" x14ac:dyDescent="0.2">
      <c r="A36" t="s">
        <v>25</v>
      </c>
      <c r="B36" t="s">
        <v>122</v>
      </c>
      <c r="C36" t="s">
        <v>24</v>
      </c>
      <c r="D36">
        <v>3169</v>
      </c>
      <c r="E36" t="s">
        <v>123</v>
      </c>
      <c r="F36" t="s">
        <v>124</v>
      </c>
      <c r="G36">
        <v>1</v>
      </c>
      <c r="H36" t="str">
        <f t="shared" si="2"/>
        <v>FH_boat1</v>
      </c>
      <c r="I36" t="s">
        <v>185</v>
      </c>
      <c r="J36" t="str">
        <f t="shared" si="3"/>
        <v>TANGO2_ROV16_t1</v>
      </c>
      <c r="K36" t="s">
        <v>87</v>
      </c>
      <c r="L36" t="s">
        <v>28</v>
      </c>
      <c r="M36">
        <v>22022024</v>
      </c>
      <c r="N36">
        <v>280</v>
      </c>
      <c r="O36" s="5" t="s">
        <v>125</v>
      </c>
      <c r="P36" s="5" t="s">
        <v>126</v>
      </c>
      <c r="Q36">
        <v>15</v>
      </c>
      <c r="R36">
        <v>1</v>
      </c>
      <c r="S36">
        <v>90</v>
      </c>
      <c r="T36">
        <v>-64.546683329999993</v>
      </c>
      <c r="U36">
        <v>-61.996983329999999</v>
      </c>
      <c r="X36">
        <v>-64.548384810000002</v>
      </c>
      <c r="Y36">
        <v>-61.99684293</v>
      </c>
      <c r="Z36" s="11">
        <v>534</v>
      </c>
    </row>
    <row r="37" spans="1:26" x14ac:dyDescent="0.2">
      <c r="A37" t="s">
        <v>25</v>
      </c>
      <c r="B37" t="s">
        <v>122</v>
      </c>
      <c r="C37" t="s">
        <v>32</v>
      </c>
      <c r="D37">
        <v>3170</v>
      </c>
      <c r="E37" t="s">
        <v>123</v>
      </c>
      <c r="F37" t="s">
        <v>124</v>
      </c>
      <c r="G37">
        <v>2</v>
      </c>
      <c r="H37" t="str">
        <f t="shared" si="2"/>
        <v>FH_boat2</v>
      </c>
      <c r="I37" t="s">
        <v>186</v>
      </c>
      <c r="J37" t="str">
        <f t="shared" si="3"/>
        <v>TANGO2_ROV16_t2</v>
      </c>
      <c r="K37" t="s">
        <v>87</v>
      </c>
      <c r="L37" t="s">
        <v>28</v>
      </c>
      <c r="M37">
        <v>22022024</v>
      </c>
      <c r="N37">
        <v>230</v>
      </c>
      <c r="O37" s="5" t="s">
        <v>127</v>
      </c>
      <c r="P37" s="5" t="s">
        <v>128</v>
      </c>
      <c r="Q37">
        <v>15</v>
      </c>
      <c r="R37">
        <v>1</v>
      </c>
      <c r="S37">
        <v>90</v>
      </c>
      <c r="T37">
        <v>-64.546499999999995</v>
      </c>
      <c r="U37">
        <v>-61.997250000000001</v>
      </c>
      <c r="X37">
        <v>-64.547823559999998</v>
      </c>
      <c r="Y37">
        <v>-61.997769679999998</v>
      </c>
      <c r="Z37" s="11"/>
    </row>
    <row r="38" spans="1:26" x14ac:dyDescent="0.2">
      <c r="A38" t="s">
        <v>25</v>
      </c>
      <c r="B38" t="s">
        <v>122</v>
      </c>
      <c r="C38" t="s">
        <v>65</v>
      </c>
      <c r="D38">
        <v>3171</v>
      </c>
      <c r="E38" t="s">
        <v>123</v>
      </c>
      <c r="F38" t="s">
        <v>124</v>
      </c>
      <c r="G38">
        <v>3</v>
      </c>
      <c r="H38" t="str">
        <f t="shared" si="2"/>
        <v>FH_boat3</v>
      </c>
      <c r="I38" t="s">
        <v>187</v>
      </c>
      <c r="J38" t="str">
        <f t="shared" si="3"/>
        <v>TANGO2_ROV16_t3</v>
      </c>
      <c r="K38" t="s">
        <v>87</v>
      </c>
      <c r="L38" t="s">
        <v>28</v>
      </c>
      <c r="M38">
        <v>22022024</v>
      </c>
      <c r="N38">
        <v>340</v>
      </c>
      <c r="O38" s="5" t="s">
        <v>129</v>
      </c>
      <c r="P38" s="5" t="s">
        <v>130</v>
      </c>
      <c r="Q38">
        <v>15</v>
      </c>
      <c r="R38">
        <v>1</v>
      </c>
      <c r="S38">
        <v>90</v>
      </c>
      <c r="T38">
        <v>-64.546466670000001</v>
      </c>
      <c r="U38">
        <v>-61.997250000000001</v>
      </c>
      <c r="X38">
        <v>-64.547057580000001</v>
      </c>
      <c r="Y38">
        <v>-61.996490270000002</v>
      </c>
      <c r="Z38" s="11"/>
    </row>
    <row r="39" spans="1:26" x14ac:dyDescent="0.2">
      <c r="A39" t="s">
        <v>25</v>
      </c>
      <c r="B39" t="s">
        <v>131</v>
      </c>
      <c r="C39" t="s">
        <v>24</v>
      </c>
      <c r="D39">
        <v>3881</v>
      </c>
      <c r="E39" t="s">
        <v>123</v>
      </c>
      <c r="F39" t="s">
        <v>124</v>
      </c>
      <c r="G39">
        <v>1</v>
      </c>
      <c r="H39" t="str">
        <f t="shared" si="2"/>
        <v>FH_south pool1</v>
      </c>
      <c r="I39" t="s">
        <v>188</v>
      </c>
      <c r="J39" t="str">
        <f t="shared" si="3"/>
        <v>TANGO2_ROV17_t1</v>
      </c>
      <c r="K39" t="s">
        <v>116</v>
      </c>
      <c r="L39" t="s">
        <v>60</v>
      </c>
      <c r="M39">
        <v>23022024</v>
      </c>
      <c r="N39">
        <v>270</v>
      </c>
      <c r="O39" s="5" t="s">
        <v>106</v>
      </c>
      <c r="P39" s="5" t="s">
        <v>132</v>
      </c>
      <c r="Q39">
        <v>16</v>
      </c>
      <c r="R39">
        <v>1</v>
      </c>
      <c r="S39">
        <v>96</v>
      </c>
      <c r="T39">
        <v>-64.554183330000001</v>
      </c>
      <c r="U39">
        <v>-62.005699999999997</v>
      </c>
      <c r="X39">
        <v>-64.556026779999996</v>
      </c>
      <c r="Y39">
        <v>-62.005699989999997</v>
      </c>
      <c r="Z39">
        <v>186</v>
      </c>
    </row>
    <row r="40" spans="1:26" x14ac:dyDescent="0.2">
      <c r="A40" t="s">
        <v>25</v>
      </c>
      <c r="B40" t="s">
        <v>133</v>
      </c>
      <c r="C40" t="s">
        <v>24</v>
      </c>
      <c r="D40">
        <v>3882</v>
      </c>
      <c r="E40" t="s">
        <v>123</v>
      </c>
      <c r="F40" t="s">
        <v>124</v>
      </c>
      <c r="G40">
        <v>2</v>
      </c>
      <c r="H40" t="str">
        <f t="shared" si="2"/>
        <v>FH_south pool2</v>
      </c>
      <c r="I40" t="s">
        <v>189</v>
      </c>
      <c r="J40" t="str">
        <f t="shared" si="3"/>
        <v>TANGO2_DIV31_t1</v>
      </c>
      <c r="K40" t="s">
        <v>116</v>
      </c>
      <c r="L40" t="s">
        <v>60</v>
      </c>
      <c r="M40">
        <v>24022024</v>
      </c>
      <c r="N40">
        <v>120</v>
      </c>
      <c r="O40" s="5" t="s">
        <v>31</v>
      </c>
      <c r="P40" s="5" t="s">
        <v>31</v>
      </c>
      <c r="R40">
        <v>1</v>
      </c>
      <c r="S40">
        <v>100</v>
      </c>
      <c r="T40">
        <v>-64.554116669999999</v>
      </c>
      <c r="U40">
        <v>-62.003133329999997</v>
      </c>
      <c r="X40">
        <v>-64.552453790000001</v>
      </c>
      <c r="Y40">
        <v>-62.003582479999999</v>
      </c>
    </row>
    <row r="41" spans="1:26" x14ac:dyDescent="0.2">
      <c r="A41" t="s">
        <v>25</v>
      </c>
      <c r="B41" t="s">
        <v>134</v>
      </c>
      <c r="C41" t="s">
        <v>24</v>
      </c>
      <c r="D41">
        <v>3883</v>
      </c>
      <c r="E41" t="s">
        <v>123</v>
      </c>
      <c r="F41" t="s">
        <v>124</v>
      </c>
      <c r="G41">
        <v>4</v>
      </c>
      <c r="H41" t="str">
        <f t="shared" si="2"/>
        <v>FH_boat4</v>
      </c>
      <c r="I41" t="s">
        <v>190</v>
      </c>
      <c r="J41" t="str">
        <f t="shared" si="3"/>
        <v>TANGO2_ROV18_t1</v>
      </c>
      <c r="K41" t="s">
        <v>87</v>
      </c>
      <c r="L41" t="s">
        <v>28</v>
      </c>
      <c r="M41">
        <v>24022024</v>
      </c>
      <c r="N41">
        <v>168</v>
      </c>
      <c r="O41" s="5" t="s">
        <v>135</v>
      </c>
      <c r="P41" s="5" t="s">
        <v>39</v>
      </c>
      <c r="Q41">
        <v>15</v>
      </c>
      <c r="R41">
        <v>1</v>
      </c>
      <c r="S41">
        <v>90</v>
      </c>
      <c r="T41">
        <v>-64.546566670000004</v>
      </c>
      <c r="U41">
        <v>-61.996983329999999</v>
      </c>
      <c r="X41">
        <v>-64.546207440000003</v>
      </c>
      <c r="Y41">
        <v>-61.997774149999998</v>
      </c>
      <c r="Z41">
        <v>232</v>
      </c>
    </row>
    <row r="42" spans="1:26" x14ac:dyDescent="0.2">
      <c r="A42" t="s">
        <v>25</v>
      </c>
      <c r="B42" t="s">
        <v>136</v>
      </c>
      <c r="C42" t="s">
        <v>24</v>
      </c>
      <c r="D42">
        <v>3884</v>
      </c>
      <c r="E42" t="s">
        <v>123</v>
      </c>
      <c r="F42" t="s">
        <v>124</v>
      </c>
      <c r="G42">
        <v>3</v>
      </c>
      <c r="H42" t="str">
        <f t="shared" si="2"/>
        <v>FH_south pool3</v>
      </c>
      <c r="I42" t="s">
        <v>191</v>
      </c>
      <c r="J42" t="str">
        <f t="shared" si="3"/>
        <v>TANGO2_ROV19_t1</v>
      </c>
      <c r="K42" t="s">
        <v>116</v>
      </c>
      <c r="L42" t="s">
        <v>60</v>
      </c>
      <c r="M42">
        <v>24022024</v>
      </c>
      <c r="N42">
        <v>210</v>
      </c>
      <c r="O42" s="5" t="s">
        <v>137</v>
      </c>
      <c r="P42" s="5" t="s">
        <v>30</v>
      </c>
      <c r="Q42">
        <v>15</v>
      </c>
      <c r="R42">
        <v>1</v>
      </c>
      <c r="S42">
        <v>90</v>
      </c>
      <c r="T42">
        <v>-64.554183330000001</v>
      </c>
      <c r="U42">
        <v>-62.005699999999997</v>
      </c>
      <c r="X42">
        <v>-64.555047470000005</v>
      </c>
      <c r="Y42">
        <v>-62.006400159999998</v>
      </c>
      <c r="Z42" s="11">
        <v>292</v>
      </c>
    </row>
    <row r="43" spans="1:26" x14ac:dyDescent="0.2">
      <c r="A43" t="s">
        <v>25</v>
      </c>
      <c r="B43" t="s">
        <v>136</v>
      </c>
      <c r="C43" t="s">
        <v>32</v>
      </c>
      <c r="D43">
        <v>3885</v>
      </c>
      <c r="E43" t="s">
        <v>123</v>
      </c>
      <c r="F43" t="s">
        <v>124</v>
      </c>
      <c r="G43">
        <v>4</v>
      </c>
      <c r="H43" t="str">
        <f t="shared" si="2"/>
        <v>FH_south pool4</v>
      </c>
      <c r="I43" t="s">
        <v>192</v>
      </c>
      <c r="J43" t="str">
        <f t="shared" si="3"/>
        <v>TANGO2_ROV19_t2</v>
      </c>
      <c r="K43" t="s">
        <v>116</v>
      </c>
      <c r="L43" t="s">
        <v>60</v>
      </c>
      <c r="M43">
        <v>24022024</v>
      </c>
      <c r="N43">
        <v>140</v>
      </c>
      <c r="O43" s="5" t="s">
        <v>138</v>
      </c>
      <c r="P43" s="5" t="s">
        <v>139</v>
      </c>
      <c r="Q43">
        <v>15</v>
      </c>
      <c r="R43">
        <v>1</v>
      </c>
      <c r="S43">
        <v>90</v>
      </c>
      <c r="T43">
        <v>-64.554183330000001</v>
      </c>
      <c r="U43">
        <v>-62.005699999999997</v>
      </c>
      <c r="X43">
        <v>-64.55307243</v>
      </c>
      <c r="Y43">
        <v>-62.006319329999997</v>
      </c>
      <c r="Z43" s="11"/>
    </row>
    <row r="44" spans="1:26" x14ac:dyDescent="0.2">
      <c r="A44" t="s">
        <v>25</v>
      </c>
      <c r="B44" t="s">
        <v>140</v>
      </c>
      <c r="C44" t="s">
        <v>24</v>
      </c>
      <c r="D44">
        <v>3981</v>
      </c>
      <c r="E44" t="s">
        <v>141</v>
      </c>
      <c r="F44" t="s">
        <v>142</v>
      </c>
      <c r="G44">
        <v>1</v>
      </c>
      <c r="H44" t="str">
        <f t="shared" si="2"/>
        <v>EI_wreck1</v>
      </c>
      <c r="I44" t="s">
        <v>193</v>
      </c>
      <c r="J44" t="str">
        <f t="shared" si="3"/>
        <v>TANGO2_ROV20_t1</v>
      </c>
      <c r="K44" t="s">
        <v>143</v>
      </c>
      <c r="L44" t="s">
        <v>28</v>
      </c>
      <c r="M44">
        <v>25022024</v>
      </c>
      <c r="N44">
        <v>140</v>
      </c>
      <c r="O44" s="5" t="s">
        <v>144</v>
      </c>
      <c r="P44" s="5" t="s">
        <v>145</v>
      </c>
      <c r="Q44">
        <v>15</v>
      </c>
      <c r="R44">
        <v>1.2</v>
      </c>
      <c r="S44">
        <v>90</v>
      </c>
      <c r="T44">
        <v>-64.546859999999995</v>
      </c>
      <c r="U44">
        <v>-61.99615833</v>
      </c>
      <c r="X44">
        <v>-64.545749439999994</v>
      </c>
      <c r="Y44">
        <v>-61.996777659999999</v>
      </c>
      <c r="Z44" s="11">
        <v>557</v>
      </c>
    </row>
    <row r="45" spans="1:26" x14ac:dyDescent="0.2">
      <c r="A45" t="s">
        <v>25</v>
      </c>
      <c r="B45" t="s">
        <v>140</v>
      </c>
      <c r="C45" t="s">
        <v>32</v>
      </c>
      <c r="D45">
        <v>3982</v>
      </c>
      <c r="E45" t="s">
        <v>141</v>
      </c>
      <c r="F45" t="s">
        <v>142</v>
      </c>
      <c r="G45">
        <v>2</v>
      </c>
      <c r="H45" t="str">
        <f t="shared" si="2"/>
        <v>EI_wreck2</v>
      </c>
      <c r="I45" t="s">
        <v>194</v>
      </c>
      <c r="J45" t="str">
        <f t="shared" si="3"/>
        <v>TANGO2_ROV20_t2</v>
      </c>
      <c r="K45" t="s">
        <v>143</v>
      </c>
      <c r="L45" t="s">
        <v>28</v>
      </c>
      <c r="M45">
        <v>25022024</v>
      </c>
      <c r="N45">
        <v>190</v>
      </c>
      <c r="O45" s="5" t="s">
        <v>82</v>
      </c>
      <c r="P45" s="5" t="s">
        <v>83</v>
      </c>
      <c r="Q45">
        <v>15</v>
      </c>
      <c r="R45">
        <v>1.1000000000000001</v>
      </c>
      <c r="S45">
        <v>90</v>
      </c>
      <c r="T45">
        <v>-64.546859999999995</v>
      </c>
      <c r="U45">
        <v>-61.99615833</v>
      </c>
      <c r="X45">
        <v>-64.547160020000007</v>
      </c>
      <c r="Y45">
        <v>-61.996954529999996</v>
      </c>
      <c r="Z45" s="11"/>
    </row>
    <row r="46" spans="1:26" x14ac:dyDescent="0.2">
      <c r="A46" t="s">
        <v>25</v>
      </c>
      <c r="B46" t="s">
        <v>140</v>
      </c>
      <c r="C46" t="s">
        <v>65</v>
      </c>
      <c r="D46">
        <v>3983</v>
      </c>
      <c r="E46" t="s">
        <v>141</v>
      </c>
      <c r="F46" t="s">
        <v>142</v>
      </c>
      <c r="G46">
        <v>3</v>
      </c>
      <c r="H46" t="str">
        <f t="shared" si="2"/>
        <v>EI_wreck3</v>
      </c>
      <c r="I46" t="s">
        <v>195</v>
      </c>
      <c r="J46" t="str">
        <f t="shared" si="3"/>
        <v>TANGO2_ROV20_t3</v>
      </c>
      <c r="K46" t="s">
        <v>143</v>
      </c>
      <c r="L46" t="s">
        <v>28</v>
      </c>
      <c r="M46">
        <v>25022024</v>
      </c>
      <c r="N46">
        <v>160</v>
      </c>
      <c r="O46" s="5" t="s">
        <v>146</v>
      </c>
      <c r="P46" s="5" t="s">
        <v>147</v>
      </c>
      <c r="Q46">
        <v>13</v>
      </c>
      <c r="S46">
        <v>78</v>
      </c>
      <c r="T46">
        <v>-64.546859999999995</v>
      </c>
      <c r="U46">
        <v>-61.99615833</v>
      </c>
      <c r="X46">
        <v>-64.546347870000005</v>
      </c>
      <c r="Y46">
        <v>-61.996816760000002</v>
      </c>
      <c r="Z46" s="11"/>
    </row>
    <row r="47" spans="1:26" x14ac:dyDescent="0.2">
      <c r="A47" t="s">
        <v>25</v>
      </c>
      <c r="B47" t="s">
        <v>140</v>
      </c>
      <c r="C47" t="s">
        <v>148</v>
      </c>
      <c r="D47">
        <v>3984</v>
      </c>
      <c r="E47" t="s">
        <v>141</v>
      </c>
      <c r="F47" t="s">
        <v>142</v>
      </c>
      <c r="G47">
        <v>4</v>
      </c>
      <c r="H47" t="str">
        <f t="shared" si="2"/>
        <v>EI_wreck4</v>
      </c>
      <c r="I47" t="s">
        <v>196</v>
      </c>
      <c r="J47" t="str">
        <f t="shared" si="3"/>
        <v>TANGO2_ROV20_t4</v>
      </c>
      <c r="K47" t="s">
        <v>143</v>
      </c>
      <c r="L47" t="s">
        <v>28</v>
      </c>
      <c r="M47">
        <v>25022024</v>
      </c>
      <c r="N47">
        <v>325</v>
      </c>
      <c r="O47" s="5" t="s">
        <v>149</v>
      </c>
      <c r="P47" s="5" t="s">
        <v>150</v>
      </c>
      <c r="Q47">
        <v>10</v>
      </c>
      <c r="S47">
        <v>60</v>
      </c>
      <c r="T47">
        <v>-64.546859999999995</v>
      </c>
      <c r="U47">
        <v>-61.99615833</v>
      </c>
      <c r="X47">
        <v>-64.547520629999994</v>
      </c>
      <c r="Y47">
        <v>-61.995716819999998</v>
      </c>
      <c r="Z47">
        <v>130</v>
      </c>
    </row>
    <row r="48" spans="1:26" x14ac:dyDescent="0.2">
      <c r="A48" t="s">
        <v>25</v>
      </c>
      <c r="B48" t="s">
        <v>151</v>
      </c>
      <c r="C48" t="s">
        <v>24</v>
      </c>
      <c r="D48" t="s">
        <v>31</v>
      </c>
      <c r="E48" t="s">
        <v>123</v>
      </c>
      <c r="F48" t="s">
        <v>124</v>
      </c>
      <c r="G48">
        <v>1</v>
      </c>
      <c r="H48" t="str">
        <f t="shared" si="2"/>
        <v>FH_outer wall1</v>
      </c>
      <c r="I48" t="s">
        <v>197</v>
      </c>
      <c r="J48" t="str">
        <f t="shared" si="3"/>
        <v>TANGO2_ROV21_t1</v>
      </c>
      <c r="K48" t="s">
        <v>152</v>
      </c>
      <c r="L48" t="s">
        <v>60</v>
      </c>
      <c r="M48">
        <v>26022024</v>
      </c>
      <c r="N48">
        <v>260</v>
      </c>
      <c r="O48" s="5" t="s">
        <v>153</v>
      </c>
      <c r="P48" s="5" t="s">
        <v>154</v>
      </c>
      <c r="Q48">
        <v>12</v>
      </c>
      <c r="S48">
        <v>72</v>
      </c>
      <c r="T48">
        <v>-64.549766669999997</v>
      </c>
      <c r="U48">
        <v>-61.988916670000002</v>
      </c>
      <c r="X48">
        <v>-64.551127500000007</v>
      </c>
      <c r="Y48">
        <v>-61.98902897</v>
      </c>
      <c r="Z48">
        <v>219</v>
      </c>
    </row>
    <row r="49" spans="1:26" x14ac:dyDescent="0.2">
      <c r="A49" t="s">
        <v>25</v>
      </c>
      <c r="B49" t="s">
        <v>151</v>
      </c>
      <c r="C49" t="s">
        <v>32</v>
      </c>
      <c r="D49" t="s">
        <v>31</v>
      </c>
      <c r="E49" t="s">
        <v>123</v>
      </c>
      <c r="F49" t="s">
        <v>124</v>
      </c>
      <c r="G49">
        <v>2</v>
      </c>
      <c r="H49" t="str">
        <f t="shared" si="2"/>
        <v>FH_outer wall2</v>
      </c>
      <c r="I49" t="s">
        <v>198</v>
      </c>
      <c r="J49" t="str">
        <f t="shared" si="3"/>
        <v>TANGO2_ROV21_t2</v>
      </c>
      <c r="K49" t="s">
        <v>152</v>
      </c>
      <c r="L49" t="s">
        <v>60</v>
      </c>
      <c r="M49">
        <v>26022024</v>
      </c>
      <c r="N49">
        <v>93</v>
      </c>
      <c r="O49" s="5" t="s">
        <v>155</v>
      </c>
      <c r="P49" s="5" t="s">
        <v>156</v>
      </c>
      <c r="Q49">
        <v>13</v>
      </c>
      <c r="S49">
        <v>78</v>
      </c>
      <c r="T49">
        <v>-64.552400000000006</v>
      </c>
      <c r="U49">
        <v>-61.99056667</v>
      </c>
      <c r="X49">
        <v>-64.550904990000006</v>
      </c>
      <c r="Y49">
        <v>-61.990603329999999</v>
      </c>
      <c r="Z49" s="11">
        <v>251</v>
      </c>
    </row>
    <row r="50" spans="1:26" x14ac:dyDescent="0.2">
      <c r="A50" t="s">
        <v>25</v>
      </c>
      <c r="B50" t="s">
        <v>151</v>
      </c>
      <c r="C50" t="s">
        <v>65</v>
      </c>
      <c r="D50" t="s">
        <v>31</v>
      </c>
      <c r="E50" t="s">
        <v>123</v>
      </c>
      <c r="F50" t="s">
        <v>124</v>
      </c>
      <c r="G50">
        <v>3</v>
      </c>
      <c r="H50" t="str">
        <f t="shared" si="2"/>
        <v>FH_outer wall3</v>
      </c>
      <c r="I50" t="s">
        <v>199</v>
      </c>
      <c r="J50" t="str">
        <f t="shared" si="3"/>
        <v>TANGO2_ROV21_t3</v>
      </c>
      <c r="K50" t="s">
        <v>152</v>
      </c>
      <c r="L50" t="s">
        <v>60</v>
      </c>
      <c r="M50">
        <v>26022024</v>
      </c>
      <c r="N50">
        <v>160</v>
      </c>
      <c r="O50" s="5" t="s">
        <v>157</v>
      </c>
      <c r="P50" s="5" t="s">
        <v>158</v>
      </c>
      <c r="Q50">
        <v>12</v>
      </c>
      <c r="S50">
        <v>72</v>
      </c>
      <c r="T50">
        <v>-64.552400000000006</v>
      </c>
      <c r="U50">
        <v>-61.99056667</v>
      </c>
      <c r="X50">
        <v>-64.55192735</v>
      </c>
      <c r="Y50">
        <v>-61.991174450000003</v>
      </c>
      <c r="Z50" s="11"/>
    </row>
    <row r="51" spans="1:26" x14ac:dyDescent="0.2">
      <c r="A51" t="s">
        <v>165</v>
      </c>
      <c r="B51" t="s">
        <v>23</v>
      </c>
      <c r="C51" t="s">
        <v>108</v>
      </c>
      <c r="D51">
        <v>2</v>
      </c>
      <c r="E51" t="s">
        <v>166</v>
      </c>
      <c r="F51" s="8" t="s">
        <v>168</v>
      </c>
      <c r="G51">
        <v>4</v>
      </c>
      <c r="I51" t="str">
        <f t="shared" ref="I51:I78" si="4">F51&amp;G51</f>
        <v>DI4</v>
      </c>
      <c r="J51" t="s">
        <v>236</v>
      </c>
      <c r="L51" t="s">
        <v>28</v>
      </c>
      <c r="M51">
        <v>19022023</v>
      </c>
      <c r="T51">
        <v>-66.000680000000003</v>
      </c>
      <c r="U51">
        <v>-65.766670000000005</v>
      </c>
    </row>
    <row r="52" spans="1:26" x14ac:dyDescent="0.2">
      <c r="A52" t="s">
        <v>165</v>
      </c>
      <c r="B52" t="s">
        <v>34</v>
      </c>
      <c r="C52" t="s">
        <v>108</v>
      </c>
      <c r="D52">
        <v>3</v>
      </c>
      <c r="E52" t="s">
        <v>166</v>
      </c>
      <c r="F52" s="8" t="s">
        <v>168</v>
      </c>
      <c r="G52">
        <v>4</v>
      </c>
      <c r="I52" t="str">
        <f t="shared" si="4"/>
        <v>DI4</v>
      </c>
      <c r="J52" t="s">
        <v>237</v>
      </c>
      <c r="L52" t="s">
        <v>28</v>
      </c>
      <c r="M52">
        <v>19022023</v>
      </c>
      <c r="T52">
        <v>-66.000680000000003</v>
      </c>
      <c r="U52">
        <v>-65.766670000000005</v>
      </c>
    </row>
    <row r="53" spans="1:26" x14ac:dyDescent="0.2">
      <c r="A53" t="s">
        <v>165</v>
      </c>
      <c r="B53" t="s">
        <v>34</v>
      </c>
      <c r="C53" t="s">
        <v>24</v>
      </c>
      <c r="D53">
        <v>4</v>
      </c>
      <c r="E53" t="s">
        <v>166</v>
      </c>
      <c r="F53" s="8" t="s">
        <v>168</v>
      </c>
      <c r="G53">
        <v>4</v>
      </c>
      <c r="I53" t="str">
        <f t="shared" si="4"/>
        <v>DI4</v>
      </c>
      <c r="J53" t="s">
        <v>238</v>
      </c>
      <c r="L53" t="s">
        <v>28</v>
      </c>
      <c r="M53">
        <v>19022023</v>
      </c>
      <c r="T53">
        <v>-66.000680000000003</v>
      </c>
      <c r="U53">
        <v>-65.766670000000005</v>
      </c>
    </row>
    <row r="54" spans="1:26" x14ac:dyDescent="0.2">
      <c r="A54" t="s">
        <v>165</v>
      </c>
      <c r="B54" t="s">
        <v>38</v>
      </c>
      <c r="C54" t="s">
        <v>24</v>
      </c>
      <c r="D54">
        <v>5</v>
      </c>
      <c r="E54" t="s">
        <v>166</v>
      </c>
      <c r="F54" s="8" t="s">
        <v>168</v>
      </c>
      <c r="G54">
        <v>4</v>
      </c>
      <c r="I54" t="str">
        <f t="shared" si="4"/>
        <v>DI4</v>
      </c>
      <c r="J54" t="s">
        <v>239</v>
      </c>
      <c r="L54" t="s">
        <v>28</v>
      </c>
      <c r="M54">
        <v>19022023</v>
      </c>
      <c r="T54">
        <v>-66.000680000000003</v>
      </c>
      <c r="U54">
        <v>-65.766670000000005</v>
      </c>
    </row>
    <row r="55" spans="1:26" x14ac:dyDescent="0.2">
      <c r="A55" t="s">
        <v>165</v>
      </c>
      <c r="B55" t="s">
        <v>44</v>
      </c>
      <c r="C55" t="s">
        <v>108</v>
      </c>
      <c r="D55">
        <v>91</v>
      </c>
      <c r="E55" t="s">
        <v>166</v>
      </c>
      <c r="F55" s="8" t="s">
        <v>168</v>
      </c>
      <c r="G55">
        <v>4</v>
      </c>
      <c r="I55" t="str">
        <f t="shared" si="4"/>
        <v>DI4</v>
      </c>
      <c r="J55" t="s">
        <v>240</v>
      </c>
      <c r="L55" t="s">
        <v>28</v>
      </c>
      <c r="M55">
        <v>19022023</v>
      </c>
      <c r="T55">
        <v>-66.000680000000003</v>
      </c>
      <c r="U55">
        <v>-65.766670000000005</v>
      </c>
    </row>
    <row r="56" spans="1:26" x14ac:dyDescent="0.2">
      <c r="A56" t="s">
        <v>165</v>
      </c>
      <c r="B56" t="s">
        <v>44</v>
      </c>
      <c r="C56" t="s">
        <v>161</v>
      </c>
      <c r="D56">
        <v>92</v>
      </c>
      <c r="E56" t="s">
        <v>166</v>
      </c>
      <c r="F56" s="8" t="s">
        <v>168</v>
      </c>
      <c r="G56">
        <v>4</v>
      </c>
      <c r="I56" t="str">
        <f t="shared" si="4"/>
        <v>DI4</v>
      </c>
      <c r="J56" t="s">
        <v>241</v>
      </c>
      <c r="L56" t="s">
        <v>28</v>
      </c>
      <c r="M56">
        <v>20022023</v>
      </c>
      <c r="T56">
        <v>-66.000680000000003</v>
      </c>
      <c r="U56">
        <v>-65.766670000000005</v>
      </c>
    </row>
    <row r="57" spans="1:26" x14ac:dyDescent="0.2">
      <c r="A57" t="s">
        <v>165</v>
      </c>
      <c r="B57" t="s">
        <v>44</v>
      </c>
      <c r="C57" t="s">
        <v>162</v>
      </c>
      <c r="D57">
        <v>93</v>
      </c>
      <c r="E57" t="s">
        <v>166</v>
      </c>
      <c r="F57" s="8" t="s">
        <v>168</v>
      </c>
      <c r="G57">
        <v>4</v>
      </c>
      <c r="I57" t="str">
        <f t="shared" si="4"/>
        <v>DI4</v>
      </c>
      <c r="J57" t="s">
        <v>242</v>
      </c>
      <c r="L57" t="s">
        <v>28</v>
      </c>
      <c r="M57">
        <v>20022023</v>
      </c>
      <c r="T57">
        <v>-66.000680000000003</v>
      </c>
      <c r="U57">
        <v>-65.766670000000005</v>
      </c>
    </row>
    <row r="58" spans="1:26" x14ac:dyDescent="0.2">
      <c r="A58" t="s">
        <v>165</v>
      </c>
      <c r="B58" t="s">
        <v>47</v>
      </c>
      <c r="C58" t="s">
        <v>108</v>
      </c>
      <c r="D58">
        <v>256</v>
      </c>
      <c r="E58" t="s">
        <v>166</v>
      </c>
      <c r="F58" s="8" t="s">
        <v>168</v>
      </c>
      <c r="G58">
        <v>4</v>
      </c>
      <c r="I58" t="str">
        <f t="shared" si="4"/>
        <v>DI4</v>
      </c>
      <c r="J58" t="s">
        <v>243</v>
      </c>
      <c r="L58" t="s">
        <v>28</v>
      </c>
      <c r="M58">
        <v>22022023</v>
      </c>
      <c r="V58" t="s">
        <v>233</v>
      </c>
      <c r="W58" t="s">
        <v>232</v>
      </c>
    </row>
    <row r="59" spans="1:26" x14ac:dyDescent="0.2">
      <c r="A59" t="s">
        <v>165</v>
      </c>
      <c r="B59" t="s">
        <v>47</v>
      </c>
      <c r="C59" t="s">
        <v>161</v>
      </c>
      <c r="D59">
        <v>264</v>
      </c>
      <c r="E59" t="s">
        <v>166</v>
      </c>
      <c r="F59" s="8" t="s">
        <v>168</v>
      </c>
      <c r="G59">
        <v>4</v>
      </c>
      <c r="I59" t="str">
        <f t="shared" si="4"/>
        <v>DI4</v>
      </c>
      <c r="J59" t="s">
        <v>244</v>
      </c>
      <c r="L59" t="s">
        <v>28</v>
      </c>
      <c r="M59">
        <v>22022023</v>
      </c>
      <c r="V59" t="s">
        <v>233</v>
      </c>
      <c r="W59" t="s">
        <v>232</v>
      </c>
    </row>
    <row r="60" spans="1:26" x14ac:dyDescent="0.2">
      <c r="A60" t="s">
        <v>165</v>
      </c>
      <c r="B60" t="s">
        <v>52</v>
      </c>
      <c r="C60" t="s">
        <v>108</v>
      </c>
      <c r="D60">
        <v>261</v>
      </c>
      <c r="E60" t="s">
        <v>166</v>
      </c>
      <c r="F60" s="8" t="s">
        <v>168</v>
      </c>
      <c r="G60">
        <v>3</v>
      </c>
      <c r="I60" t="str">
        <f t="shared" si="4"/>
        <v>DI3</v>
      </c>
      <c r="J60" t="s">
        <v>245</v>
      </c>
      <c r="L60" t="s">
        <v>28</v>
      </c>
      <c r="M60">
        <v>22022023</v>
      </c>
      <c r="T60">
        <v>-65.999070000000003</v>
      </c>
      <c r="U60">
        <v>-65.784899999999993</v>
      </c>
    </row>
    <row r="61" spans="1:26" x14ac:dyDescent="0.2">
      <c r="A61" t="s">
        <v>165</v>
      </c>
      <c r="B61" t="s">
        <v>52</v>
      </c>
      <c r="C61" t="s">
        <v>161</v>
      </c>
      <c r="D61">
        <v>262</v>
      </c>
      <c r="E61" t="s">
        <v>166</v>
      </c>
      <c r="F61" s="8" t="s">
        <v>168</v>
      </c>
      <c r="G61">
        <v>3</v>
      </c>
      <c r="I61" t="str">
        <f t="shared" si="4"/>
        <v>DI3</v>
      </c>
      <c r="J61" t="s">
        <v>246</v>
      </c>
      <c r="L61" t="s">
        <v>28</v>
      </c>
      <c r="M61">
        <v>22022023</v>
      </c>
      <c r="T61">
        <v>-65.999070000000003</v>
      </c>
      <c r="U61">
        <v>-65.784899999999993</v>
      </c>
    </row>
    <row r="62" spans="1:26" x14ac:dyDescent="0.2">
      <c r="A62" t="s">
        <v>165</v>
      </c>
      <c r="B62" t="s">
        <v>52</v>
      </c>
      <c r="C62" t="s">
        <v>162</v>
      </c>
      <c r="D62">
        <v>263</v>
      </c>
      <c r="E62" t="s">
        <v>166</v>
      </c>
      <c r="F62" s="8" t="s">
        <v>168</v>
      </c>
      <c r="G62">
        <v>3</v>
      </c>
      <c r="I62" t="str">
        <f t="shared" si="4"/>
        <v>DI3</v>
      </c>
      <c r="J62" t="s">
        <v>247</v>
      </c>
      <c r="L62" t="s">
        <v>28</v>
      </c>
      <c r="M62">
        <v>22022023</v>
      </c>
      <c r="T62">
        <v>-65.999070000000003</v>
      </c>
      <c r="U62">
        <v>-65.784899999999993</v>
      </c>
    </row>
    <row r="63" spans="1:26" x14ac:dyDescent="0.2">
      <c r="A63" t="s">
        <v>165</v>
      </c>
      <c r="B63" t="s">
        <v>58</v>
      </c>
      <c r="C63" t="s">
        <v>108</v>
      </c>
      <c r="D63">
        <v>462</v>
      </c>
      <c r="E63" t="s">
        <v>166</v>
      </c>
      <c r="F63" s="8" t="s">
        <v>168</v>
      </c>
      <c r="G63">
        <v>3</v>
      </c>
      <c r="I63" t="str">
        <f t="shared" si="4"/>
        <v>DI3</v>
      </c>
      <c r="J63" t="s">
        <v>248</v>
      </c>
      <c r="L63" t="s">
        <v>28</v>
      </c>
      <c r="M63">
        <v>23022023</v>
      </c>
      <c r="T63">
        <v>-65.999070000000003</v>
      </c>
      <c r="U63">
        <v>-65.784899999999993</v>
      </c>
    </row>
    <row r="64" spans="1:26" x14ac:dyDescent="0.2">
      <c r="A64" t="s">
        <v>165</v>
      </c>
      <c r="B64" t="s">
        <v>58</v>
      </c>
      <c r="C64" t="s">
        <v>161</v>
      </c>
      <c r="D64">
        <v>463</v>
      </c>
      <c r="E64" t="s">
        <v>166</v>
      </c>
      <c r="F64" s="8" t="s">
        <v>168</v>
      </c>
      <c r="G64">
        <v>3</v>
      </c>
      <c r="I64" t="str">
        <f t="shared" si="4"/>
        <v>DI3</v>
      </c>
      <c r="J64" t="s">
        <v>249</v>
      </c>
      <c r="L64" t="s">
        <v>28</v>
      </c>
      <c r="M64">
        <v>23022023</v>
      </c>
      <c r="T64">
        <v>-65.999070000000003</v>
      </c>
      <c r="U64">
        <v>-65.784899999999993</v>
      </c>
    </row>
    <row r="65" spans="1:23" x14ac:dyDescent="0.2">
      <c r="A65" t="s">
        <v>165</v>
      </c>
      <c r="B65" t="s">
        <v>58</v>
      </c>
      <c r="C65" t="s">
        <v>24</v>
      </c>
      <c r="D65">
        <v>464</v>
      </c>
      <c r="E65" t="s">
        <v>166</v>
      </c>
      <c r="F65" s="8" t="s">
        <v>168</v>
      </c>
      <c r="G65">
        <v>3</v>
      </c>
      <c r="I65" t="str">
        <f t="shared" si="4"/>
        <v>DI3</v>
      </c>
      <c r="J65" t="s">
        <v>250</v>
      </c>
      <c r="L65" t="s">
        <v>28</v>
      </c>
      <c r="M65">
        <v>23022023</v>
      </c>
      <c r="T65">
        <v>-65.999070000000003</v>
      </c>
      <c r="U65">
        <v>-65.784899999999993</v>
      </c>
    </row>
    <row r="66" spans="1:23" x14ac:dyDescent="0.2">
      <c r="A66" t="s">
        <v>165</v>
      </c>
      <c r="B66" t="s">
        <v>68</v>
      </c>
      <c r="C66" t="s">
        <v>108</v>
      </c>
      <c r="D66">
        <v>572</v>
      </c>
      <c r="E66" t="s">
        <v>166</v>
      </c>
      <c r="F66" s="8" t="s">
        <v>168</v>
      </c>
      <c r="G66">
        <v>1</v>
      </c>
      <c r="I66" t="str">
        <f t="shared" si="4"/>
        <v>DI1</v>
      </c>
      <c r="J66" t="s">
        <v>251</v>
      </c>
      <c r="L66" t="s">
        <v>28</v>
      </c>
      <c r="M66">
        <v>24022023</v>
      </c>
      <c r="T66">
        <v>-65.9983</v>
      </c>
      <c r="U66">
        <v>-65.789760000000001</v>
      </c>
    </row>
    <row r="67" spans="1:23" x14ac:dyDescent="0.2">
      <c r="A67" t="s">
        <v>165</v>
      </c>
      <c r="B67" t="s">
        <v>70</v>
      </c>
      <c r="C67" t="s">
        <v>108</v>
      </c>
      <c r="D67">
        <v>573</v>
      </c>
      <c r="E67" t="s">
        <v>166</v>
      </c>
      <c r="F67" s="8" t="s">
        <v>168</v>
      </c>
      <c r="G67">
        <v>1</v>
      </c>
      <c r="I67" t="str">
        <f t="shared" si="4"/>
        <v>DI1</v>
      </c>
      <c r="J67" t="s">
        <v>252</v>
      </c>
      <c r="L67" t="s">
        <v>60</v>
      </c>
      <c r="M67">
        <v>24022023</v>
      </c>
      <c r="V67" t="s">
        <v>231</v>
      </c>
      <c r="W67" t="s">
        <v>230</v>
      </c>
    </row>
    <row r="68" spans="1:23" x14ac:dyDescent="0.2">
      <c r="A68" t="s">
        <v>165</v>
      </c>
      <c r="B68" t="s">
        <v>70</v>
      </c>
      <c r="C68" t="s">
        <v>161</v>
      </c>
      <c r="D68">
        <v>574</v>
      </c>
      <c r="E68" t="s">
        <v>166</v>
      </c>
      <c r="F68" s="8" t="s">
        <v>168</v>
      </c>
      <c r="G68">
        <v>1</v>
      </c>
      <c r="I68" t="str">
        <f t="shared" si="4"/>
        <v>DI1</v>
      </c>
      <c r="J68" t="s">
        <v>253</v>
      </c>
      <c r="L68" t="s">
        <v>60</v>
      </c>
      <c r="M68">
        <v>24022023</v>
      </c>
      <c r="V68" t="s">
        <v>231</v>
      </c>
      <c r="W68" t="s">
        <v>230</v>
      </c>
    </row>
    <row r="69" spans="1:23" x14ac:dyDescent="0.2">
      <c r="A69" t="s">
        <v>165</v>
      </c>
      <c r="B69" t="s">
        <v>70</v>
      </c>
      <c r="C69" t="s">
        <v>162</v>
      </c>
      <c r="D69">
        <v>581</v>
      </c>
      <c r="E69" t="s">
        <v>166</v>
      </c>
      <c r="F69" s="8" t="s">
        <v>168</v>
      </c>
      <c r="G69">
        <v>1</v>
      </c>
      <c r="I69" t="str">
        <f t="shared" si="4"/>
        <v>DI1</v>
      </c>
      <c r="J69" t="s">
        <v>254</v>
      </c>
      <c r="L69" t="s">
        <v>60</v>
      </c>
      <c r="M69">
        <v>24022023</v>
      </c>
      <c r="V69" t="s">
        <v>231</v>
      </c>
      <c r="W69" t="s">
        <v>230</v>
      </c>
    </row>
    <row r="70" spans="1:23" x14ac:dyDescent="0.2">
      <c r="A70" t="s">
        <v>165</v>
      </c>
      <c r="B70" t="s">
        <v>77</v>
      </c>
      <c r="C70" t="s">
        <v>163</v>
      </c>
      <c r="D70">
        <v>795</v>
      </c>
      <c r="E70" t="s">
        <v>166</v>
      </c>
      <c r="F70" s="8" t="s">
        <v>168</v>
      </c>
      <c r="G70" t="s">
        <v>208</v>
      </c>
      <c r="I70" t="str">
        <f t="shared" si="4"/>
        <v>DIice</v>
      </c>
      <c r="J70" t="s">
        <v>255</v>
      </c>
      <c r="L70" t="s">
        <v>28</v>
      </c>
      <c r="M70">
        <v>25022023</v>
      </c>
      <c r="T70">
        <v>-65.025279999999995</v>
      </c>
      <c r="U70">
        <v>-65.779309999999995</v>
      </c>
    </row>
    <row r="71" spans="1:23" x14ac:dyDescent="0.2">
      <c r="A71" t="s">
        <v>165</v>
      </c>
      <c r="B71" t="s">
        <v>84</v>
      </c>
      <c r="C71" t="s">
        <v>164</v>
      </c>
      <c r="D71">
        <v>796</v>
      </c>
      <c r="E71" t="s">
        <v>166</v>
      </c>
      <c r="F71" s="8" t="s">
        <v>168</v>
      </c>
      <c r="G71" t="s">
        <v>208</v>
      </c>
      <c r="I71" t="str">
        <f t="shared" si="4"/>
        <v>DIice</v>
      </c>
      <c r="J71" t="s">
        <v>256</v>
      </c>
      <c r="L71" t="s">
        <v>28</v>
      </c>
      <c r="M71">
        <v>25022023</v>
      </c>
      <c r="T71">
        <v>-65.025279999999995</v>
      </c>
      <c r="U71">
        <v>-65.779309999999995</v>
      </c>
    </row>
    <row r="72" spans="1:23" x14ac:dyDescent="0.2">
      <c r="A72" t="s">
        <v>165</v>
      </c>
      <c r="B72" t="s">
        <v>90</v>
      </c>
      <c r="C72" t="s">
        <v>108</v>
      </c>
      <c r="D72">
        <v>1337</v>
      </c>
      <c r="E72" t="s">
        <v>166</v>
      </c>
      <c r="F72" s="8" t="s">
        <v>168</v>
      </c>
      <c r="G72">
        <v>2</v>
      </c>
      <c r="I72" t="str">
        <f t="shared" si="4"/>
        <v>DI2</v>
      </c>
      <c r="J72" t="s">
        <v>257</v>
      </c>
      <c r="L72" t="s">
        <v>60</v>
      </c>
      <c r="M72">
        <v>26022023</v>
      </c>
      <c r="V72" t="s">
        <v>229</v>
      </c>
      <c r="W72" t="s">
        <v>228</v>
      </c>
    </row>
    <row r="73" spans="1:23" x14ac:dyDescent="0.2">
      <c r="A73" t="s">
        <v>165</v>
      </c>
      <c r="B73" t="s">
        <v>90</v>
      </c>
      <c r="C73" t="s">
        <v>161</v>
      </c>
      <c r="D73">
        <v>1338</v>
      </c>
      <c r="E73" t="s">
        <v>166</v>
      </c>
      <c r="F73" s="8" t="s">
        <v>168</v>
      </c>
      <c r="G73">
        <v>2</v>
      </c>
      <c r="I73" t="str">
        <f t="shared" si="4"/>
        <v>DI2</v>
      </c>
      <c r="J73" t="s">
        <v>258</v>
      </c>
      <c r="L73" t="s">
        <v>60</v>
      </c>
      <c r="M73">
        <v>26022023</v>
      </c>
      <c r="V73" t="s">
        <v>229</v>
      </c>
      <c r="W73" t="s">
        <v>228</v>
      </c>
    </row>
    <row r="74" spans="1:23" x14ac:dyDescent="0.2">
      <c r="A74" t="s">
        <v>165</v>
      </c>
      <c r="B74" t="s">
        <v>90</v>
      </c>
      <c r="C74" t="s">
        <v>162</v>
      </c>
      <c r="D74">
        <v>1339</v>
      </c>
      <c r="E74" t="s">
        <v>166</v>
      </c>
      <c r="F74" s="8" t="s">
        <v>168</v>
      </c>
      <c r="G74">
        <v>2</v>
      </c>
      <c r="I74" t="str">
        <f t="shared" si="4"/>
        <v>DI2</v>
      </c>
      <c r="J74" t="s">
        <v>259</v>
      </c>
      <c r="L74" t="s">
        <v>60</v>
      </c>
      <c r="M74">
        <v>26022023</v>
      </c>
      <c r="V74" t="s">
        <v>229</v>
      </c>
      <c r="W74" t="s">
        <v>228</v>
      </c>
    </row>
    <row r="75" spans="1:23" x14ac:dyDescent="0.2">
      <c r="A75" t="s">
        <v>165</v>
      </c>
      <c r="B75" t="s">
        <v>96</v>
      </c>
      <c r="C75" t="s">
        <v>108</v>
      </c>
      <c r="D75">
        <v>1391</v>
      </c>
      <c r="E75" t="s">
        <v>166</v>
      </c>
      <c r="F75" s="8" t="s">
        <v>168</v>
      </c>
      <c r="G75">
        <v>5</v>
      </c>
      <c r="I75" t="str">
        <f t="shared" si="4"/>
        <v>DI5</v>
      </c>
      <c r="J75" t="s">
        <v>260</v>
      </c>
      <c r="L75" t="s">
        <v>60</v>
      </c>
      <c r="M75">
        <v>27022023</v>
      </c>
      <c r="V75" t="s">
        <v>227</v>
      </c>
      <c r="W75" t="s">
        <v>226</v>
      </c>
    </row>
    <row r="76" spans="1:23" x14ac:dyDescent="0.2">
      <c r="A76" t="s">
        <v>165</v>
      </c>
      <c r="B76" t="s">
        <v>96</v>
      </c>
      <c r="C76" t="s">
        <v>161</v>
      </c>
      <c r="D76">
        <v>1392</v>
      </c>
      <c r="E76" t="s">
        <v>166</v>
      </c>
      <c r="F76" s="8" t="s">
        <v>168</v>
      </c>
      <c r="G76">
        <v>5</v>
      </c>
      <c r="I76" t="str">
        <f t="shared" si="4"/>
        <v>DI5</v>
      </c>
      <c r="J76" t="s">
        <v>261</v>
      </c>
      <c r="L76" t="s">
        <v>60</v>
      </c>
      <c r="M76">
        <v>27022023</v>
      </c>
      <c r="V76" t="s">
        <v>227</v>
      </c>
      <c r="W76" t="s">
        <v>226</v>
      </c>
    </row>
    <row r="77" spans="1:23" x14ac:dyDescent="0.2">
      <c r="A77" t="s">
        <v>165</v>
      </c>
      <c r="B77" t="s">
        <v>96</v>
      </c>
      <c r="C77" t="s">
        <v>162</v>
      </c>
      <c r="D77">
        <v>1393</v>
      </c>
      <c r="E77" t="s">
        <v>166</v>
      </c>
      <c r="F77" s="8" t="s">
        <v>168</v>
      </c>
      <c r="G77">
        <v>5</v>
      </c>
      <c r="I77" t="str">
        <f t="shared" si="4"/>
        <v>DI5</v>
      </c>
      <c r="J77" t="s">
        <v>262</v>
      </c>
      <c r="L77" t="s">
        <v>60</v>
      </c>
      <c r="M77">
        <v>27022023</v>
      </c>
      <c r="V77" t="s">
        <v>227</v>
      </c>
      <c r="W77" t="s">
        <v>226</v>
      </c>
    </row>
    <row r="78" spans="1:23" x14ac:dyDescent="0.2">
      <c r="A78" t="s">
        <v>165</v>
      </c>
      <c r="B78" t="s">
        <v>104</v>
      </c>
      <c r="C78" t="s">
        <v>24</v>
      </c>
      <c r="E78" t="s">
        <v>166</v>
      </c>
      <c r="F78" s="8" t="s">
        <v>168</v>
      </c>
      <c r="G78">
        <v>6</v>
      </c>
      <c r="I78" t="str">
        <f t="shared" si="4"/>
        <v>DI6</v>
      </c>
      <c r="J78" t="s">
        <v>263</v>
      </c>
      <c r="L78" t="s">
        <v>60</v>
      </c>
      <c r="M78">
        <v>28022023</v>
      </c>
      <c r="V78" t="s">
        <v>225</v>
      </c>
      <c r="W78" t="s">
        <v>224</v>
      </c>
    </row>
    <row r="79" spans="1:23" x14ac:dyDescent="0.2">
      <c r="A79" t="s">
        <v>165</v>
      </c>
      <c r="B79" t="s">
        <v>115</v>
      </c>
      <c r="C79" t="s">
        <v>108</v>
      </c>
      <c r="D79">
        <v>1981</v>
      </c>
      <c r="E79" t="s">
        <v>167</v>
      </c>
      <c r="F79" s="8" t="s">
        <v>169</v>
      </c>
      <c r="G79">
        <v>1</v>
      </c>
      <c r="I79" t="str">
        <f t="shared" ref="I79:I94" si="5">F79&amp;G79&amp;K79</f>
        <v>BI1a</v>
      </c>
      <c r="J79" t="s">
        <v>264</v>
      </c>
      <c r="K79" t="s">
        <v>214</v>
      </c>
      <c r="L79" t="s">
        <v>28</v>
      </c>
      <c r="M79">
        <v>2032023</v>
      </c>
      <c r="V79" t="s">
        <v>223</v>
      </c>
      <c r="W79" t="s">
        <v>222</v>
      </c>
    </row>
    <row r="80" spans="1:23" x14ac:dyDescent="0.2">
      <c r="A80" t="s">
        <v>165</v>
      </c>
      <c r="B80" t="s">
        <v>115</v>
      </c>
      <c r="C80" t="s">
        <v>161</v>
      </c>
      <c r="D80">
        <v>1982</v>
      </c>
      <c r="E80" t="s">
        <v>167</v>
      </c>
      <c r="F80" s="8" t="s">
        <v>169</v>
      </c>
      <c r="G80">
        <v>1</v>
      </c>
      <c r="I80" t="str">
        <f t="shared" si="5"/>
        <v>BI1a</v>
      </c>
      <c r="J80" t="s">
        <v>265</v>
      </c>
      <c r="K80" t="s">
        <v>214</v>
      </c>
      <c r="L80" t="s">
        <v>28</v>
      </c>
      <c r="M80">
        <v>2032023</v>
      </c>
      <c r="V80" t="s">
        <v>223</v>
      </c>
      <c r="W80" t="s">
        <v>222</v>
      </c>
    </row>
    <row r="81" spans="1:23" x14ac:dyDescent="0.2">
      <c r="A81" t="s">
        <v>165</v>
      </c>
      <c r="B81" t="s">
        <v>115</v>
      </c>
      <c r="C81" t="s">
        <v>162</v>
      </c>
      <c r="D81">
        <v>1983</v>
      </c>
      <c r="E81" t="s">
        <v>167</v>
      </c>
      <c r="F81" s="8" t="s">
        <v>169</v>
      </c>
      <c r="G81">
        <v>1</v>
      </c>
      <c r="I81" t="str">
        <f t="shared" si="5"/>
        <v>BI1a</v>
      </c>
      <c r="J81" t="s">
        <v>266</v>
      </c>
      <c r="K81" t="s">
        <v>214</v>
      </c>
      <c r="L81" t="s">
        <v>28</v>
      </c>
      <c r="M81">
        <v>2032023</v>
      </c>
      <c r="V81" t="s">
        <v>223</v>
      </c>
      <c r="W81" t="s">
        <v>222</v>
      </c>
    </row>
    <row r="82" spans="1:23" x14ac:dyDescent="0.2">
      <c r="A82" t="s">
        <v>165</v>
      </c>
      <c r="B82" t="s">
        <v>122</v>
      </c>
      <c r="C82" t="s">
        <v>108</v>
      </c>
      <c r="D82">
        <v>2032</v>
      </c>
      <c r="E82" t="s">
        <v>167</v>
      </c>
      <c r="F82" s="8" t="s">
        <v>169</v>
      </c>
      <c r="G82">
        <v>1</v>
      </c>
      <c r="I82" t="str">
        <f t="shared" si="5"/>
        <v>BI1b</v>
      </c>
      <c r="J82" t="s">
        <v>267</v>
      </c>
      <c r="K82" t="s">
        <v>211</v>
      </c>
      <c r="L82" t="s">
        <v>60</v>
      </c>
      <c r="M82">
        <v>3032023</v>
      </c>
      <c r="V82" t="s">
        <v>221</v>
      </c>
      <c r="W82" t="s">
        <v>220</v>
      </c>
    </row>
    <row r="83" spans="1:23" x14ac:dyDescent="0.2">
      <c r="A83" t="s">
        <v>165</v>
      </c>
      <c r="B83" t="s">
        <v>131</v>
      </c>
      <c r="E83" t="s">
        <v>167</v>
      </c>
      <c r="F83" s="8" t="s">
        <v>169</v>
      </c>
      <c r="G83">
        <v>1</v>
      </c>
      <c r="I83" t="str">
        <f t="shared" si="5"/>
        <v>BI1a</v>
      </c>
      <c r="J83" t="s">
        <v>279</v>
      </c>
      <c r="K83" t="s">
        <v>214</v>
      </c>
      <c r="L83" t="s">
        <v>28</v>
      </c>
      <c r="M83">
        <v>3032023</v>
      </c>
    </row>
    <row r="84" spans="1:23" x14ac:dyDescent="0.2">
      <c r="A84" t="s">
        <v>165</v>
      </c>
      <c r="B84" t="s">
        <v>134</v>
      </c>
      <c r="C84" t="s">
        <v>108</v>
      </c>
      <c r="D84">
        <v>2033</v>
      </c>
      <c r="E84" t="s">
        <v>167</v>
      </c>
      <c r="F84" s="8" t="s">
        <v>169</v>
      </c>
      <c r="G84">
        <v>1</v>
      </c>
      <c r="I84" t="str">
        <f t="shared" si="5"/>
        <v>BI1b</v>
      </c>
      <c r="J84" t="s">
        <v>268</v>
      </c>
      <c r="K84" t="s">
        <v>211</v>
      </c>
      <c r="L84" t="s">
        <v>60</v>
      </c>
      <c r="M84">
        <v>3032023</v>
      </c>
      <c r="V84" t="s">
        <v>221</v>
      </c>
      <c r="W84" t="s">
        <v>220</v>
      </c>
    </row>
    <row r="85" spans="1:23" x14ac:dyDescent="0.2">
      <c r="A85" t="s">
        <v>165</v>
      </c>
      <c r="B85" t="s">
        <v>134</v>
      </c>
      <c r="C85" t="s">
        <v>161</v>
      </c>
      <c r="D85">
        <v>2034</v>
      </c>
      <c r="E85" t="s">
        <v>167</v>
      </c>
      <c r="F85" s="8" t="s">
        <v>169</v>
      </c>
      <c r="G85">
        <v>1</v>
      </c>
      <c r="I85" t="str">
        <f t="shared" si="5"/>
        <v>BI1b</v>
      </c>
      <c r="J85" t="s">
        <v>269</v>
      </c>
      <c r="K85" t="s">
        <v>211</v>
      </c>
      <c r="L85" t="s">
        <v>60</v>
      </c>
      <c r="M85">
        <v>3032023</v>
      </c>
      <c r="V85" t="s">
        <v>221</v>
      </c>
      <c r="W85" t="s">
        <v>220</v>
      </c>
    </row>
    <row r="86" spans="1:23" x14ac:dyDescent="0.2">
      <c r="A86" t="s">
        <v>165</v>
      </c>
      <c r="B86" t="s">
        <v>136</v>
      </c>
      <c r="C86" t="s">
        <v>24</v>
      </c>
      <c r="D86">
        <v>2135</v>
      </c>
      <c r="E86" t="s">
        <v>167</v>
      </c>
      <c r="F86" s="8" t="s">
        <v>169</v>
      </c>
      <c r="G86">
        <v>1</v>
      </c>
      <c r="I86" t="str">
        <f t="shared" si="5"/>
        <v>BI1c</v>
      </c>
      <c r="J86" t="s">
        <v>270</v>
      </c>
      <c r="K86" t="s">
        <v>219</v>
      </c>
      <c r="L86" t="s">
        <v>28</v>
      </c>
      <c r="M86">
        <v>4032023</v>
      </c>
      <c r="V86" t="s">
        <v>218</v>
      </c>
      <c r="W86" t="s">
        <v>217</v>
      </c>
    </row>
    <row r="87" spans="1:23" x14ac:dyDescent="0.2">
      <c r="A87" t="s">
        <v>165</v>
      </c>
      <c r="B87" t="s">
        <v>140</v>
      </c>
      <c r="C87" t="s">
        <v>108</v>
      </c>
      <c r="D87">
        <v>2637</v>
      </c>
      <c r="E87" t="s">
        <v>167</v>
      </c>
      <c r="F87" s="8" t="s">
        <v>169</v>
      </c>
      <c r="G87">
        <v>3</v>
      </c>
      <c r="I87" t="str">
        <f t="shared" si="5"/>
        <v>BI3</v>
      </c>
      <c r="J87" t="s">
        <v>271</v>
      </c>
      <c r="L87" t="s">
        <v>28</v>
      </c>
      <c r="M87">
        <v>5032023</v>
      </c>
      <c r="V87" t="s">
        <v>216</v>
      </c>
      <c r="W87" t="s">
        <v>215</v>
      </c>
    </row>
    <row r="88" spans="1:23" x14ac:dyDescent="0.2">
      <c r="A88" t="s">
        <v>165</v>
      </c>
      <c r="B88" t="s">
        <v>140</v>
      </c>
      <c r="C88" t="s">
        <v>161</v>
      </c>
      <c r="D88">
        <v>2638</v>
      </c>
      <c r="E88" t="s">
        <v>167</v>
      </c>
      <c r="F88" s="8" t="s">
        <v>169</v>
      </c>
      <c r="G88">
        <v>3</v>
      </c>
      <c r="I88" t="str">
        <f t="shared" si="5"/>
        <v>BI3</v>
      </c>
      <c r="J88" t="s">
        <v>272</v>
      </c>
      <c r="L88" t="s">
        <v>28</v>
      </c>
      <c r="M88">
        <v>5032023</v>
      </c>
      <c r="V88" t="s">
        <v>216</v>
      </c>
      <c r="W88" t="s">
        <v>215</v>
      </c>
    </row>
    <row r="89" spans="1:23" x14ac:dyDescent="0.2">
      <c r="A89" t="s">
        <v>165</v>
      </c>
      <c r="B89" t="s">
        <v>140</v>
      </c>
      <c r="C89" t="s">
        <v>162</v>
      </c>
      <c r="D89">
        <v>2639</v>
      </c>
      <c r="E89" t="s">
        <v>167</v>
      </c>
      <c r="F89" s="8" t="s">
        <v>169</v>
      </c>
      <c r="G89">
        <v>3</v>
      </c>
      <c r="I89" t="str">
        <f t="shared" si="5"/>
        <v>BI3</v>
      </c>
      <c r="J89" t="s">
        <v>273</v>
      </c>
      <c r="L89" t="s">
        <v>28</v>
      </c>
      <c r="M89">
        <v>5032023</v>
      </c>
      <c r="V89" t="s">
        <v>216</v>
      </c>
      <c r="W89" t="s">
        <v>215</v>
      </c>
    </row>
    <row r="90" spans="1:23" x14ac:dyDescent="0.2">
      <c r="A90" t="s">
        <v>165</v>
      </c>
      <c r="B90" t="s">
        <v>151</v>
      </c>
      <c r="E90" t="s">
        <v>167</v>
      </c>
      <c r="F90" s="8" t="s">
        <v>169</v>
      </c>
      <c r="G90">
        <v>2</v>
      </c>
      <c r="I90" t="str">
        <f t="shared" si="5"/>
        <v>BI2a</v>
      </c>
      <c r="J90" t="s">
        <v>278</v>
      </c>
      <c r="K90" t="s">
        <v>214</v>
      </c>
      <c r="L90" t="s">
        <v>60</v>
      </c>
      <c r="M90">
        <v>5032023</v>
      </c>
    </row>
    <row r="91" spans="1:23" x14ac:dyDescent="0.2">
      <c r="A91" t="s">
        <v>165</v>
      </c>
      <c r="B91" t="s">
        <v>159</v>
      </c>
      <c r="C91" t="s">
        <v>108</v>
      </c>
      <c r="D91">
        <v>2926</v>
      </c>
      <c r="E91" t="s">
        <v>167</v>
      </c>
      <c r="F91" s="8" t="s">
        <v>169</v>
      </c>
      <c r="G91">
        <v>2</v>
      </c>
      <c r="I91" t="str">
        <f t="shared" si="5"/>
        <v>BI2a</v>
      </c>
      <c r="J91" t="s">
        <v>274</v>
      </c>
      <c r="K91" t="s">
        <v>214</v>
      </c>
      <c r="L91" t="s">
        <v>28</v>
      </c>
      <c r="M91">
        <v>6032023</v>
      </c>
      <c r="V91" t="s">
        <v>213</v>
      </c>
      <c r="W91" t="s">
        <v>212</v>
      </c>
    </row>
    <row r="92" spans="1:23" x14ac:dyDescent="0.2">
      <c r="A92" t="s">
        <v>165</v>
      </c>
      <c r="B92" t="s">
        <v>159</v>
      </c>
      <c r="C92" t="s">
        <v>161</v>
      </c>
      <c r="D92">
        <v>2927</v>
      </c>
      <c r="E92" t="s">
        <v>167</v>
      </c>
      <c r="F92" s="8" t="s">
        <v>169</v>
      </c>
      <c r="G92">
        <v>2</v>
      </c>
      <c r="I92" t="str">
        <f t="shared" si="5"/>
        <v>BI2a</v>
      </c>
      <c r="J92" t="s">
        <v>275</v>
      </c>
      <c r="K92" t="s">
        <v>214</v>
      </c>
      <c r="L92" t="s">
        <v>28</v>
      </c>
      <c r="M92">
        <v>6032023</v>
      </c>
      <c r="V92" t="s">
        <v>213</v>
      </c>
      <c r="W92" t="s">
        <v>212</v>
      </c>
    </row>
    <row r="93" spans="1:23" x14ac:dyDescent="0.2">
      <c r="A93" t="s">
        <v>165</v>
      </c>
      <c r="B93" t="s">
        <v>159</v>
      </c>
      <c r="C93" t="s">
        <v>162</v>
      </c>
      <c r="D93">
        <v>2928</v>
      </c>
      <c r="E93" t="s">
        <v>167</v>
      </c>
      <c r="F93" s="8" t="s">
        <v>169</v>
      </c>
      <c r="G93">
        <v>2</v>
      </c>
      <c r="I93" t="str">
        <f t="shared" si="5"/>
        <v>BI2a</v>
      </c>
      <c r="J93" t="s">
        <v>276</v>
      </c>
      <c r="K93" t="s">
        <v>214</v>
      </c>
      <c r="L93" t="s">
        <v>28</v>
      </c>
      <c r="M93">
        <v>6032023</v>
      </c>
      <c r="V93" t="s">
        <v>213</v>
      </c>
      <c r="W93" t="s">
        <v>212</v>
      </c>
    </row>
    <row r="94" spans="1:23" x14ac:dyDescent="0.2">
      <c r="A94" t="s">
        <v>165</v>
      </c>
      <c r="B94" t="s">
        <v>160</v>
      </c>
      <c r="C94" t="s">
        <v>24</v>
      </c>
      <c r="D94">
        <v>3142</v>
      </c>
      <c r="E94" t="s">
        <v>167</v>
      </c>
      <c r="F94" s="8" t="s">
        <v>169</v>
      </c>
      <c r="G94">
        <v>2</v>
      </c>
      <c r="I94" t="str">
        <f t="shared" si="5"/>
        <v>BI2b</v>
      </c>
      <c r="J94" t="s">
        <v>277</v>
      </c>
      <c r="K94" t="s">
        <v>211</v>
      </c>
      <c r="L94" t="s">
        <v>28</v>
      </c>
      <c r="M94">
        <v>7032023</v>
      </c>
      <c r="V94" t="s">
        <v>210</v>
      </c>
      <c r="W94" t="s">
        <v>209</v>
      </c>
    </row>
  </sheetData>
  <mergeCells count="17">
    <mergeCell ref="Z36:Z38"/>
    <mergeCell ref="Z26:Z27"/>
    <mergeCell ref="Z29:Z30"/>
    <mergeCell ref="Z33:Z35"/>
    <mergeCell ref="Z49:Z50"/>
    <mergeCell ref="Z42:Z43"/>
    <mergeCell ref="Z44:Z46"/>
    <mergeCell ref="Z5:Z6"/>
    <mergeCell ref="Z9:Z10"/>
    <mergeCell ref="Z17:Z18"/>
    <mergeCell ref="Z23:Z25"/>
    <mergeCell ref="Z19:Z21"/>
    <mergeCell ref="T2:T3"/>
    <mergeCell ref="U2:U3"/>
    <mergeCell ref="X2:X3"/>
    <mergeCell ref="Y2:Y3"/>
    <mergeCell ref="Z2:Z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KATZ Lea</dc:creator>
  <cp:lastModifiedBy>Yi Ming Gan</cp:lastModifiedBy>
  <dcterms:created xsi:type="dcterms:W3CDTF">2025-02-07T10:33:09Z</dcterms:created>
  <dcterms:modified xsi:type="dcterms:W3CDTF">2026-05-29T08:49:23Z</dcterms:modified>
</cp:coreProperties>
</file>